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ya_pozd/Desktop/"/>
    </mc:Choice>
  </mc:AlternateContent>
  <xr:revisionPtr revIDLastSave="0" documentId="13_ncr:1_{C863C56F-EB28-BC41-BB9E-FA7C6100F550}" xr6:coauthVersionLast="47" xr6:coauthVersionMax="47" xr10:uidLastSave="{00000000-0000-0000-0000-000000000000}"/>
  <bookViews>
    <workbookView xWindow="160" yWindow="760" windowWidth="38080" windowHeight="18980" firstSheet="1" activeTab="3" xr2:uid="{CD488BF6-AAE2-A54B-8C2E-0F83BB345587}"/>
  </bookViews>
  <sheets>
    <sheet name="дубликатРезультат оценки анализ" sheetId="13" r:id="rId1"/>
    <sheet name="Инструкция" sheetId="14" r:id="rId2"/>
    <sheet name="I сценарий" sheetId="11" r:id="rId3"/>
    <sheet name="II сценарий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1" l="1"/>
  <c r="E22" i="11"/>
  <c r="E21" i="11"/>
  <c r="E20" i="11"/>
  <c r="E19" i="11"/>
  <c r="E18" i="11"/>
  <c r="E17" i="11"/>
  <c r="E14" i="11"/>
  <c r="E15" i="11"/>
  <c r="E12" i="11"/>
  <c r="E11" i="11"/>
  <c r="E10" i="11"/>
  <c r="E9" i="11"/>
  <c r="E8" i="11"/>
  <c r="E6" i="11"/>
  <c r="E7" i="11"/>
  <c r="E5" i="11"/>
  <c r="E4" i="11"/>
  <c r="E3" i="11"/>
  <c r="F17" i="11" l="1"/>
  <c r="F14" i="11"/>
  <c r="Q59" i="13"/>
  <c r="O59" i="13"/>
  <c r="M59" i="13"/>
  <c r="H4" i="11"/>
  <c r="E2" i="11"/>
  <c r="P8" i="13"/>
  <c r="Q8" i="13" s="1"/>
  <c r="P7" i="13"/>
  <c r="P6" i="13"/>
  <c r="P5" i="13"/>
  <c r="N8" i="13"/>
  <c r="N7" i="13"/>
  <c r="N6" i="13"/>
  <c r="N5" i="13"/>
  <c r="L8" i="13"/>
  <c r="L7" i="13"/>
  <c r="L6" i="13"/>
  <c r="L5" i="13"/>
  <c r="G56" i="13"/>
  <c r="E56" i="13"/>
  <c r="C56" i="13"/>
  <c r="Q53" i="13"/>
  <c r="P53" i="13"/>
  <c r="N53" i="13"/>
  <c r="O53" i="13" s="1"/>
  <c r="L53" i="13"/>
  <c r="M53" i="13" s="1"/>
  <c r="P52" i="13"/>
  <c r="Q52" i="13" s="1"/>
  <c r="O52" i="13"/>
  <c r="N52" i="13"/>
  <c r="L52" i="13"/>
  <c r="M52" i="13" s="1"/>
  <c r="P51" i="13"/>
  <c r="Q51" i="13" s="1"/>
  <c r="N51" i="13"/>
  <c r="O51" i="13" s="1"/>
  <c r="M51" i="13"/>
  <c r="L51" i="13"/>
  <c r="P50" i="13"/>
  <c r="Q50" i="13" s="1"/>
  <c r="N50" i="13"/>
  <c r="O50" i="13" s="1"/>
  <c r="L50" i="13"/>
  <c r="M50" i="13" s="1"/>
  <c r="I49" i="13"/>
  <c r="P48" i="13"/>
  <c r="Q48" i="13" s="1"/>
  <c r="N48" i="13"/>
  <c r="O48" i="13" s="1"/>
  <c r="L48" i="13"/>
  <c r="M48" i="13" s="1"/>
  <c r="P47" i="13"/>
  <c r="Q47" i="13" s="1"/>
  <c r="N47" i="13"/>
  <c r="O47" i="13" s="1"/>
  <c r="L47" i="13"/>
  <c r="M47" i="13" s="1"/>
  <c r="P46" i="13"/>
  <c r="Q46" i="13" s="1"/>
  <c r="N46" i="13"/>
  <c r="O46" i="13" s="1"/>
  <c r="L46" i="13"/>
  <c r="M46" i="13" s="1"/>
  <c r="P45" i="13"/>
  <c r="Q45" i="13" s="1"/>
  <c r="N45" i="13"/>
  <c r="O45" i="13" s="1"/>
  <c r="L45" i="13"/>
  <c r="M45" i="13" s="1"/>
  <c r="I44" i="13"/>
  <c r="P43" i="13"/>
  <c r="Q43" i="13" s="1"/>
  <c r="N43" i="13"/>
  <c r="O43" i="13" s="1"/>
  <c r="M43" i="13"/>
  <c r="L43" i="13"/>
  <c r="Q42" i="13"/>
  <c r="P42" i="13"/>
  <c r="N42" i="13"/>
  <c r="O42" i="13" s="1"/>
  <c r="L42" i="13"/>
  <c r="M42" i="13" s="1"/>
  <c r="Q41" i="13"/>
  <c r="P41" i="13"/>
  <c r="O41" i="13"/>
  <c r="N41" i="13"/>
  <c r="L41" i="13"/>
  <c r="M41" i="13" s="1"/>
  <c r="P40" i="13"/>
  <c r="Q40" i="13" s="1"/>
  <c r="N40" i="13"/>
  <c r="O40" i="13" s="1"/>
  <c r="M40" i="13"/>
  <c r="L40" i="13"/>
  <c r="I39" i="13"/>
  <c r="P38" i="13"/>
  <c r="Q38" i="13" s="1"/>
  <c r="N38" i="13"/>
  <c r="O38" i="13" s="1"/>
  <c r="L38" i="13"/>
  <c r="M38" i="13" s="1"/>
  <c r="P37" i="13"/>
  <c r="Q37" i="13" s="1"/>
  <c r="N37" i="13"/>
  <c r="O37" i="13" s="1"/>
  <c r="M37" i="13"/>
  <c r="L37" i="13"/>
  <c r="P36" i="13"/>
  <c r="Q36" i="13" s="1"/>
  <c r="N36" i="13"/>
  <c r="O36" i="13" s="1"/>
  <c r="L36" i="13"/>
  <c r="M36" i="13" s="1"/>
  <c r="Q35" i="13"/>
  <c r="P35" i="13"/>
  <c r="O35" i="13"/>
  <c r="N35" i="13"/>
  <c r="L35" i="13"/>
  <c r="M35" i="13" s="1"/>
  <c r="I34" i="13"/>
  <c r="P33" i="13"/>
  <c r="Q33" i="13" s="1"/>
  <c r="N33" i="13"/>
  <c r="N59" i="13" s="1"/>
  <c r="M33" i="13"/>
  <c r="L33" i="13"/>
  <c r="P32" i="13"/>
  <c r="Q32" i="13" s="1"/>
  <c r="N32" i="13"/>
  <c r="O32" i="13" s="1"/>
  <c r="L32" i="13"/>
  <c r="M32" i="13" s="1"/>
  <c r="Q31" i="13"/>
  <c r="P31" i="13"/>
  <c r="N31" i="13"/>
  <c r="O31" i="13" s="1"/>
  <c r="L31" i="13"/>
  <c r="M31" i="13" s="1"/>
  <c r="P30" i="13"/>
  <c r="Q30" i="13" s="1"/>
  <c r="O30" i="13"/>
  <c r="N30" i="13"/>
  <c r="L30" i="13"/>
  <c r="M30" i="13" s="1"/>
  <c r="I29" i="13"/>
  <c r="P28" i="13"/>
  <c r="Q28" i="13" s="1"/>
  <c r="N28" i="13"/>
  <c r="O28" i="13" s="1"/>
  <c r="L28" i="13"/>
  <c r="M28" i="13" s="1"/>
  <c r="P27" i="13"/>
  <c r="Q27" i="13" s="1"/>
  <c r="N27" i="13"/>
  <c r="O27" i="13" s="1"/>
  <c r="L27" i="13"/>
  <c r="M27" i="13" s="1"/>
  <c r="P26" i="13"/>
  <c r="Q26" i="13" s="1"/>
  <c r="N26" i="13"/>
  <c r="O26" i="13" s="1"/>
  <c r="L26" i="13"/>
  <c r="M26" i="13" s="1"/>
  <c r="P25" i="13"/>
  <c r="P56" i="13" s="1"/>
  <c r="N25" i="13"/>
  <c r="O25" i="13" s="1"/>
  <c r="L25" i="13"/>
  <c r="M25" i="13" s="1"/>
  <c r="I24" i="13"/>
  <c r="P23" i="13"/>
  <c r="Q23" i="13" s="1"/>
  <c r="O23" i="13"/>
  <c r="N23" i="13"/>
  <c r="L23" i="13"/>
  <c r="M23" i="13" s="1"/>
  <c r="P22" i="13"/>
  <c r="Q22" i="13" s="1"/>
  <c r="N22" i="13"/>
  <c r="O22" i="13" s="1"/>
  <c r="M22" i="13"/>
  <c r="L22" i="13"/>
  <c r="P21" i="13"/>
  <c r="Q21" i="13" s="1"/>
  <c r="N21" i="13"/>
  <c r="O21" i="13" s="1"/>
  <c r="M21" i="13"/>
  <c r="L21" i="13"/>
  <c r="Q20" i="13"/>
  <c r="P20" i="13"/>
  <c r="N20" i="13"/>
  <c r="O20" i="13" s="1"/>
  <c r="L20" i="13"/>
  <c r="M20" i="13" s="1"/>
  <c r="I19" i="13"/>
  <c r="P18" i="13"/>
  <c r="P55" i="13" s="1"/>
  <c r="N18" i="13"/>
  <c r="O18" i="13" s="1"/>
  <c r="L18" i="13"/>
  <c r="M18" i="13" s="1"/>
  <c r="P17" i="13"/>
  <c r="Q17" i="13" s="1"/>
  <c r="N17" i="13"/>
  <c r="L17" i="13"/>
  <c r="M17" i="13" s="1"/>
  <c r="P16" i="13"/>
  <c r="Q16" i="13" s="1"/>
  <c r="N16" i="13"/>
  <c r="O16" i="13" s="1"/>
  <c r="L16" i="13"/>
  <c r="P15" i="13"/>
  <c r="Q15" i="13" s="1"/>
  <c r="N15" i="13"/>
  <c r="O15" i="13" s="1"/>
  <c r="L15" i="13"/>
  <c r="M15" i="13" s="1"/>
  <c r="I14" i="13"/>
  <c r="Q13" i="13"/>
  <c r="P13" i="13"/>
  <c r="N13" i="13"/>
  <c r="O13" i="13" s="1"/>
  <c r="L13" i="13"/>
  <c r="M13" i="13" s="1"/>
  <c r="P12" i="13"/>
  <c r="Q12" i="13" s="1"/>
  <c r="O12" i="13"/>
  <c r="N12" i="13"/>
  <c r="L12" i="13"/>
  <c r="M12" i="13" s="1"/>
  <c r="P11" i="13"/>
  <c r="Q11" i="13" s="1"/>
  <c r="N11" i="13"/>
  <c r="O11" i="13" s="1"/>
  <c r="M11" i="13"/>
  <c r="L11" i="13"/>
  <c r="P10" i="13"/>
  <c r="Q10" i="13" s="1"/>
  <c r="N10" i="13"/>
  <c r="O10" i="13" s="1"/>
  <c r="L10" i="13"/>
  <c r="M10" i="13" s="1"/>
  <c r="I9" i="13"/>
  <c r="O8" i="13"/>
  <c r="L59" i="13"/>
  <c r="O7" i="13"/>
  <c r="M7" i="13"/>
  <c r="P57" i="13"/>
  <c r="N57" i="13"/>
  <c r="M6" i="13"/>
  <c r="Q5" i="13"/>
  <c r="I4" i="13"/>
  <c r="H3" i="11"/>
  <c r="H15" i="11"/>
  <c r="H14" i="11"/>
  <c r="H5" i="11"/>
  <c r="E33" i="11"/>
  <c r="H33" i="11" s="1"/>
  <c r="E32" i="11"/>
  <c r="H32" i="11" s="1"/>
  <c r="E31" i="11"/>
  <c r="H31" i="11" s="1"/>
  <c r="E30" i="11"/>
  <c r="H30" i="11" s="1"/>
  <c r="E29" i="11"/>
  <c r="H29" i="11" s="1"/>
  <c r="E28" i="11"/>
  <c r="E27" i="11"/>
  <c r="H27" i="11" s="1"/>
  <c r="E26" i="11"/>
  <c r="H26" i="11" s="1"/>
  <c r="E25" i="11"/>
  <c r="H25" i="11" s="1"/>
  <c r="H23" i="11"/>
  <c r="H21" i="11"/>
  <c r="H18" i="11"/>
  <c r="G40" i="6"/>
  <c r="J40" i="6" s="1"/>
  <c r="G39" i="6"/>
  <c r="J39" i="6" s="1"/>
  <c r="G38" i="6"/>
  <c r="J38" i="6" s="1"/>
  <c r="G37" i="6"/>
  <c r="J37" i="6" s="1"/>
  <c r="G36" i="6"/>
  <c r="J36" i="6" s="1"/>
  <c r="G35" i="6"/>
  <c r="J35" i="6" s="1"/>
  <c r="G34" i="6"/>
  <c r="J34" i="6" s="1"/>
  <c r="G33" i="6"/>
  <c r="J33" i="6" s="1"/>
  <c r="G32" i="6"/>
  <c r="J32" i="6" s="1"/>
  <c r="G30" i="6"/>
  <c r="J30" i="6" s="1"/>
  <c r="G29" i="6"/>
  <c r="J29" i="6" s="1"/>
  <c r="G28" i="6"/>
  <c r="J28" i="6" s="1"/>
  <c r="G24" i="6"/>
  <c r="G25" i="6" s="1"/>
  <c r="J25" i="6" s="1"/>
  <c r="G22" i="6"/>
  <c r="J22" i="6" s="1"/>
  <c r="G21" i="6"/>
  <c r="J21" i="6" s="1"/>
  <c r="G20" i="6"/>
  <c r="J20" i="6" s="1"/>
  <c r="G19" i="6"/>
  <c r="J19" i="6" s="1"/>
  <c r="G18" i="6"/>
  <c r="J18" i="6" s="1"/>
  <c r="G17" i="6"/>
  <c r="J17" i="6" s="1"/>
  <c r="G16" i="6"/>
  <c r="J16" i="6" s="1"/>
  <c r="G15" i="6"/>
  <c r="J15" i="6" s="1"/>
  <c r="G9" i="6"/>
  <c r="G10" i="6" s="1"/>
  <c r="G11" i="6" s="1"/>
  <c r="G6" i="6"/>
  <c r="J6" i="6" s="1"/>
  <c r="G5" i="6"/>
  <c r="J5" i="6" s="1"/>
  <c r="G4" i="6"/>
  <c r="J4" i="6" s="1"/>
  <c r="G3" i="6"/>
  <c r="J3" i="6" s="1"/>
  <c r="G2" i="6"/>
  <c r="J2" i="6" s="1"/>
  <c r="H28" i="11" l="1"/>
  <c r="F25" i="11"/>
  <c r="F2" i="11"/>
  <c r="H2" i="11"/>
  <c r="M58" i="13"/>
  <c r="Q18" i="13"/>
  <c r="O33" i="13"/>
  <c r="N58" i="13"/>
  <c r="N56" i="13"/>
  <c r="N55" i="13"/>
  <c r="L57" i="13"/>
  <c r="P59" i="13"/>
  <c r="L65" i="13" s="1"/>
  <c r="L56" i="13"/>
  <c r="L55" i="13"/>
  <c r="O17" i="13"/>
  <c r="O5" i="13"/>
  <c r="O58" i="13"/>
  <c r="M16" i="13"/>
  <c r="M57" i="13" s="1"/>
  <c r="O6" i="13"/>
  <c r="O57" i="13" s="1"/>
  <c r="Q25" i="13"/>
  <c r="Q56" i="13" s="1"/>
  <c r="Q6" i="13"/>
  <c r="P58" i="13"/>
  <c r="M8" i="13"/>
  <c r="L58" i="13"/>
  <c r="M5" i="13"/>
  <c r="Q7" i="13"/>
  <c r="Q58" i="13" s="1"/>
  <c r="H15" i="6"/>
  <c r="G12" i="6"/>
  <c r="J12" i="6" s="1"/>
  <c r="G13" i="6"/>
  <c r="J13" i="6" s="1"/>
  <c r="G8" i="6"/>
  <c r="G27" i="6"/>
  <c r="J27" i="6" s="1"/>
  <c r="G26" i="6"/>
  <c r="J26" i="6" s="1"/>
  <c r="J9" i="6"/>
  <c r="H6" i="11"/>
  <c r="H11" i="11"/>
  <c r="H12" i="11"/>
  <c r="H9" i="11"/>
  <c r="H10" i="11"/>
  <c r="H8" i="11"/>
  <c r="H19" i="11"/>
  <c r="F21" i="11"/>
  <c r="H20" i="11"/>
  <c r="H22" i="11"/>
  <c r="F29" i="11"/>
  <c r="H17" i="11"/>
  <c r="H2" i="6"/>
  <c r="H36" i="6"/>
  <c r="H32" i="6"/>
  <c r="G7" i="6"/>
  <c r="J10" i="6"/>
  <c r="H18" i="6"/>
  <c r="J24" i="6"/>
  <c r="H28" i="6"/>
  <c r="H24" i="6" l="1"/>
  <c r="H7" i="11"/>
  <c r="M56" i="13"/>
  <c r="M55" i="13"/>
  <c r="L63" i="13"/>
  <c r="L54" i="13"/>
  <c r="L64" i="13"/>
  <c r="M70" i="13"/>
  <c r="L70" i="13"/>
  <c r="L71" i="13"/>
  <c r="N54" i="13"/>
  <c r="O55" i="13"/>
  <c r="O56" i="13"/>
  <c r="L68" i="13" s="1"/>
  <c r="P54" i="13"/>
  <c r="Q55" i="13"/>
  <c r="Q57" i="13"/>
  <c r="M63" i="13" s="1"/>
  <c r="L62" i="13"/>
  <c r="M64" i="13"/>
  <c r="F8" i="11"/>
  <c r="J11" i="6"/>
  <c r="H9" i="6"/>
  <c r="J8" i="6"/>
  <c r="J7" i="6"/>
  <c r="F5" i="11" l="1"/>
  <c r="F13" i="11" s="1"/>
  <c r="L69" i="13"/>
  <c r="M69" i="13"/>
  <c r="M68" i="13"/>
  <c r="M62" i="13"/>
  <c r="H6" i="6"/>
  <c r="H14" i="6" s="1"/>
  <c r="I14" i="6" l="1"/>
  <c r="K14" i="6"/>
  <c r="I13" i="11"/>
  <c r="G13" i="11"/>
  <c r="F16" i="11"/>
  <c r="H23" i="6"/>
  <c r="I23" i="6" l="1"/>
  <c r="K23" i="6"/>
  <c r="F24" i="11"/>
  <c r="G24" i="11" s="1"/>
  <c r="G16" i="11"/>
  <c r="I16" i="11"/>
  <c r="I24" i="11"/>
  <c r="F34" i="11"/>
  <c r="G34" i="11" s="1"/>
  <c r="H31" i="6"/>
  <c r="I31" i="6" l="1"/>
  <c r="K31" i="6"/>
  <c r="I34" i="11"/>
  <c r="H41" i="6"/>
  <c r="I41" i="6" l="1"/>
  <c r="K41" i="6"/>
</calcChain>
</file>

<file path=xl/sharedStrings.xml><?xml version="1.0" encoding="utf-8"?>
<sst xmlns="http://schemas.openxmlformats.org/spreadsheetml/2006/main" count="306" uniqueCount="161">
  <si>
    <t>1.1.</t>
  </si>
  <si>
    <t>1.2.</t>
  </si>
  <si>
    <t>1.3.</t>
  </si>
  <si>
    <t>2.1.</t>
  </si>
  <si>
    <t>2.2.</t>
  </si>
  <si>
    <t>2.3.</t>
  </si>
  <si>
    <t>3.1.</t>
  </si>
  <si>
    <t>3.2.</t>
  </si>
  <si>
    <t>3.3.</t>
  </si>
  <si>
    <t>4.1.</t>
  </si>
  <si>
    <t>4.2.</t>
  </si>
  <si>
    <t>4.3.</t>
  </si>
  <si>
    <t>-</t>
  </si>
  <si>
    <t>Вопросы о ЖК</t>
  </si>
  <si>
    <t>Вопросы о среде</t>
  </si>
  <si>
    <t>Застройка квартальная/периметральная, формирующая внутреннее пространство</t>
  </si>
  <si>
    <t>Ухоженная, просматриваемая растительность, не закрывающая обзор</t>
  </si>
  <si>
    <t>КПЗ &gt; 1,61: высокая плотность застройки</t>
  </si>
  <si>
    <t>КПЗ &gt; 1,2-1,6: средняя плотность застройки</t>
  </si>
  <si>
    <t>КПЗ &lt; 1,19: низкая плотность застройки</t>
  </si>
  <si>
    <t>Внутри ЖК имеется средовая инфраструктура для взаимодействия (открытые общественные пространства на 1-х этажах, лобби, благоустроенные дворовые пространства различного возрастного пользования (детьми, подростками, взрослыми), консьерж-сервисы)</t>
  </si>
  <si>
    <t>Наличие уличной мебели в комплексе с общественными пространствами ЖК</t>
  </si>
  <si>
    <t>КПЗ плотности застройки 1,6 и выше</t>
  </si>
  <si>
    <t>Маршруты и пространства ЖК хорошо освещены, просматриваются и не содержат «убежищ», есть естественное наблюдение (витрины, активные фасады на маршруты)</t>
  </si>
  <si>
    <t>Ваш ответ</t>
  </si>
  <si>
    <t>Результаты апробации</t>
  </si>
  <si>
    <t>Номер ЖК</t>
  </si>
  <si>
    <t>Номер фактора</t>
  </si>
  <si>
    <t>Подверженность изменению параметор ЖК</t>
  </si>
  <si>
    <r>
      <t xml:space="preserve">Подверженность изменению параметров среды </t>
    </r>
    <r>
      <rPr>
        <b/>
        <sz val="12"/>
        <color theme="1"/>
        <rFont val="Calibri"/>
        <family val="2"/>
        <scheme val="minor"/>
      </rPr>
      <t>(п-ры ЖК средние)</t>
    </r>
  </si>
  <si>
    <t>Владивосток ЖК STARK</t>
  </si>
  <si>
    <t>*Основные пешеходные маршруты от ЖК до ближайших узлов активности обеспечены освещением и обустройством (детсад, школа, поликлиника, магазин повседневного спроса, остановки и т.п.)</t>
  </si>
  <si>
    <t>2 град. ситуация. "Городской центр"</t>
  </si>
  <si>
    <t>3 град. ситуация. "Перекати-поле"</t>
  </si>
  <si>
    <r>
      <t xml:space="preserve">Подверженность изменению параметров ЖК </t>
    </r>
    <r>
      <rPr>
        <b/>
        <sz val="12"/>
        <color theme="1"/>
        <rFont val="Calibri"/>
        <family val="2"/>
        <scheme val="minor"/>
      </rPr>
      <t>(п-ры среды средние)</t>
    </r>
  </si>
  <si>
    <t>Иркутск ЖК Эволюция</t>
  </si>
  <si>
    <t>Челябинск ЖК Голос Меридиан</t>
  </si>
  <si>
    <t>1 град. ситуация. "Спальный район/переферия"</t>
  </si>
  <si>
    <t>Новосибирск ЖК «Кварталы Немировича»</t>
  </si>
  <si>
    <t>Брянск ЖК "Атмосфера"</t>
  </si>
  <si>
    <t>Благовещенск ЖК "Зея Парк"</t>
  </si>
  <si>
    <t>Благовещенск, ЖК "Европейский"</t>
  </si>
  <si>
    <t>Благовещенск ЖК "Дом на Набережной"</t>
  </si>
  <si>
    <t>Новосибирск ЖК "Флотилия"</t>
  </si>
  <si>
    <t>Новосибирск ЖКК "Радуга Сибири"</t>
  </si>
  <si>
    <t>Псков ЖК "Smart-Квартал"</t>
  </si>
  <si>
    <t>Псков ЖК "Околица"</t>
  </si>
  <si>
    <t>Псков ЖК "ТЭЦ"</t>
  </si>
  <si>
    <r>
      <t>Присутствие в ЖК и в радиусе 400 м от входа в ЖК присутствует</t>
    </r>
    <r>
      <rPr>
        <b/>
        <i/>
        <sz val="8"/>
        <color theme="1"/>
        <rFont val="Calibri"/>
        <family val="2"/>
        <scheme val="minor"/>
      </rPr>
      <t xml:space="preserve"> многопрофильная торговля,</t>
    </r>
    <r>
      <rPr>
        <i/>
        <sz val="8"/>
        <color theme="1"/>
        <rFont val="Calibri"/>
        <family val="2"/>
        <scheme val="minor"/>
      </rPr>
      <t xml:space="preserve"> не нормируемая СП 42.13330, но улучшающая качество среды (многопрофильная торговля по ГОСТ Р 51773-2009, малый бизнес: кафе, кофейни, закусочные, книжные/канцелярские, одежда/обувь, парфюмерия, здоровье и пр.).</t>
    </r>
  </si>
  <si>
    <r>
      <t xml:space="preserve">*Внутри ЖК и в радиусе 400 м от входной группы присутствует </t>
    </r>
    <r>
      <rPr>
        <b/>
        <i/>
        <sz val="8"/>
        <color theme="1"/>
        <rFont val="Calibri"/>
        <family val="2"/>
        <scheme val="minor"/>
      </rPr>
      <t>хотя бы один объект первой необходимости</t>
    </r>
    <r>
      <rPr>
        <i/>
        <sz val="8"/>
        <color theme="1"/>
        <rFont val="Calibri"/>
        <family val="2"/>
        <scheme val="minor"/>
      </rPr>
      <t>: магазин с ассортиментом продовольственного и/или непродовольственного товаров повседневного спроса, универсального, неширокого ассортимента согласно ГОСТ Р 51773-2009 «Классификация предприятий торговли»</t>
    </r>
  </si>
  <si>
    <r>
      <t xml:space="preserve">*Присутствуют </t>
    </r>
    <r>
      <rPr>
        <b/>
        <i/>
        <sz val="8"/>
        <color theme="1"/>
        <rFont val="Calibri"/>
        <family val="2"/>
        <scheme val="minor"/>
      </rPr>
      <t>детский сад и школа, и/или районная поликлиник</t>
    </r>
    <r>
      <rPr>
        <i/>
        <sz val="8"/>
        <color theme="1"/>
        <rFont val="Calibri"/>
        <family val="2"/>
        <scheme val="minor"/>
      </rPr>
      <t>а в нормированном радиусе обслуживания согласно СП 42.13330 2016 (300 м, 500 м и 1000 м соотв.), или в соответствии с местными нормами градостроительного проектирования)</t>
    </r>
  </si>
  <si>
    <r>
      <rPr>
        <b/>
        <i/>
        <sz val="8"/>
        <color theme="1"/>
        <rFont val="Calibri"/>
        <family val="2"/>
        <scheme val="minor"/>
      </rPr>
      <t>Насыщенность общественно-сервисными узлами и площадками повседневной активности</t>
    </r>
    <r>
      <rPr>
        <i/>
        <sz val="8"/>
        <color theme="1"/>
        <rFont val="Calibri"/>
        <family val="2"/>
        <scheme val="minor"/>
      </rPr>
      <t xml:space="preserve"> (малый бизнес, госучреждения, спортзалы и спортплощадки; кафе/кофейни/закусочные; продуктовые и книжные магазины, галереи; парки, велоинфраструктура, транспортные хабы, деловые центры, школы/колледжи/вузы и т.п.)</t>
    </r>
  </si>
  <si>
    <r>
      <t>В радиусе 1 км есть</t>
    </r>
    <r>
      <rPr>
        <b/>
        <i/>
        <sz val="8"/>
        <color theme="1"/>
        <rFont val="Calibri"/>
        <family val="2"/>
        <scheme val="minor"/>
      </rPr>
      <t xml:space="preserve"> природный объект</t>
    </r>
    <r>
      <rPr>
        <i/>
        <sz val="8"/>
        <color theme="1"/>
        <rFont val="Calibri"/>
        <family val="2"/>
        <scheme val="minor"/>
      </rPr>
      <t xml:space="preserve"> (река/озеро/пруд/канал/водохранилище; парк/лес/лесопарк/роща/луг; ООПТ; естественная набережная и т.п.)</t>
    </r>
  </si>
  <si>
    <r>
      <t>Внутри ЖК и в радиусе 400 м от границы территории ЖК присутствует</t>
    </r>
    <r>
      <rPr>
        <b/>
        <i/>
        <sz val="8"/>
        <color theme="1"/>
        <rFont val="Calibri"/>
        <family val="2"/>
        <scheme val="minor"/>
      </rPr>
      <t xml:space="preserve"> благоустроенный пар</t>
    </r>
    <r>
      <rPr>
        <i/>
        <sz val="8"/>
        <color theme="1"/>
        <rFont val="Calibri"/>
        <family val="2"/>
        <scheme val="minor"/>
      </rPr>
      <t>к, сквер, лесопарк с инфраструктурой для времяпрепровождения</t>
    </r>
  </si>
  <si>
    <r>
      <t xml:space="preserve">Внутри ЖК и в радиусе 400 м от входной группы присутствует </t>
    </r>
    <r>
      <rPr>
        <b/>
        <i/>
        <sz val="8"/>
        <color theme="1"/>
        <rFont val="Calibri"/>
        <family val="2"/>
        <scheme val="minor"/>
      </rPr>
      <t>общедоступное, вероятно бесплатное</t>
    </r>
    <r>
      <rPr>
        <i/>
        <sz val="8"/>
        <color theme="1"/>
        <rFont val="Calibri"/>
        <family val="2"/>
        <scheme val="minor"/>
      </rPr>
      <t xml:space="preserve"> место досуговой инфраструктуры (благоустроенный парк, культурное/спортивное сооружение, стадион)</t>
    </r>
  </si>
  <si>
    <r>
      <t xml:space="preserve">*Присутствует в пешеходной доступности 400 м от входной группы </t>
    </r>
    <r>
      <rPr>
        <b/>
        <i/>
        <sz val="8"/>
        <color theme="1"/>
        <rFont val="Calibri"/>
        <family val="2"/>
        <scheme val="minor"/>
      </rPr>
      <t>предприятие узкого/ограниченного ассортимента</t>
    </r>
    <r>
      <rPr>
        <i/>
        <sz val="8"/>
        <color theme="1"/>
        <rFont val="Calibri"/>
        <family val="2"/>
        <scheme val="minor"/>
      </rPr>
      <t xml:space="preserve"> продовольственной/непродовольственной торговли товарами частного спроса согласно ГОСТ Р 51773-2009 (минимаркеты, универсамы, продуктовые, товары повседневного спроса и т.п.)</t>
    </r>
  </si>
  <si>
    <r>
      <t xml:space="preserve">Присутствует в пешеходной доступности 400 м от входной группы более одного одного предприятия </t>
    </r>
    <r>
      <rPr>
        <b/>
        <i/>
        <sz val="8"/>
        <color theme="1"/>
        <rFont val="Calibri"/>
        <family val="2"/>
        <scheme val="minor"/>
      </rPr>
      <t xml:space="preserve">широкого/универсального ассортимента </t>
    </r>
    <r>
      <rPr>
        <i/>
        <sz val="8"/>
        <color theme="1"/>
        <rFont val="Calibri"/>
        <family val="2"/>
        <scheme val="minor"/>
      </rPr>
      <t>продовольственной и непродовольственной торговли товарами, в том числе товарные комплексы согласно ГОСТ Р 51773-2009 (гипермаркеты, универмаги, супермаркеты, товары для дома и пр.)</t>
    </r>
  </si>
  <si>
    <r>
      <t xml:space="preserve">Присутствует в пешеходной доступности 400 м от входной группы более одного </t>
    </r>
    <r>
      <rPr>
        <b/>
        <i/>
        <sz val="8"/>
        <color theme="1"/>
        <rFont val="Calibri"/>
        <family val="2"/>
        <scheme val="minor"/>
      </rPr>
      <t>неспециализированного предприятия торговли</t>
    </r>
    <r>
      <rPr>
        <i/>
        <sz val="8"/>
        <color theme="1"/>
        <rFont val="Calibri"/>
        <family val="2"/>
        <scheme val="minor"/>
      </rPr>
      <t xml:space="preserve"> широкого профиля согласно ГОСТ Р 51773-2009 (дискаунтер, промтовары, магазин-салон, бутик, магазины для творчества, электроника и т.п.)</t>
    </r>
  </si>
  <si>
    <r>
      <t>В доступности 400 м от границы ЖК присутствует</t>
    </r>
    <r>
      <rPr>
        <b/>
        <i/>
        <sz val="8"/>
        <color theme="1"/>
        <rFont val="Calibri"/>
        <family val="2"/>
        <scheme val="minor"/>
      </rPr>
      <t xml:space="preserve"> торговый центр</t>
    </r>
  </si>
  <si>
    <r>
      <rPr>
        <b/>
        <i/>
        <sz val="8"/>
        <color theme="1"/>
        <rFont val="Calibri"/>
        <family val="2"/>
        <scheme val="minor"/>
      </rPr>
      <t>Низкий уровень конкуренции:</t>
    </r>
    <r>
      <rPr>
        <i/>
        <sz val="8"/>
        <color theme="1"/>
        <rFont val="Calibri"/>
        <family val="2"/>
        <scheme val="minor"/>
      </rPr>
      <t xml:space="preserve"> в радиус 1000 м от границы ЖК могут не попадать иные жилые здания, или массив представлен индивидуальным жилым строительством или малоэтажной жилой застройкой, преимущественно устаревшего жилого фонда и рядовой жилой застройкой, со скудным насыщением общественными функциями</t>
    </r>
  </si>
  <si>
    <r>
      <rPr>
        <b/>
        <i/>
        <sz val="8"/>
        <color theme="1"/>
        <rFont val="Calibri"/>
        <family val="2"/>
        <scheme val="minor"/>
      </rPr>
      <t>Средний уровень конкуренции:</t>
    </r>
    <r>
      <rPr>
        <i/>
        <sz val="8"/>
        <color theme="1"/>
        <rFont val="Calibri"/>
        <family val="2"/>
        <scheme val="minor"/>
      </rPr>
      <t xml:space="preserve"> жилые здания в радиусе 1000 м могут быть представлены 1-2 жилыми массивами средней и высокой этажности, с насыщением общественными функциями, но все еще отстает по параметрам функциональности, безопасности и благоприятной общественной инфраструктуре</t>
    </r>
  </si>
  <si>
    <r>
      <rPr>
        <b/>
        <i/>
        <sz val="8"/>
        <color theme="1"/>
        <rFont val="Calibri"/>
        <family val="2"/>
        <scheme val="minor"/>
      </rPr>
      <t>Высокий уровень конкуренции:</t>
    </r>
    <r>
      <rPr>
        <i/>
        <sz val="8"/>
        <color theme="1"/>
        <rFont val="Calibri"/>
        <family val="2"/>
        <scheme val="minor"/>
      </rPr>
      <t xml:space="preserve"> жилые комплексы в радиусе 1000 м могут быть очень похожими на оцениваемый объект или быть лучше по вышеприведённым факторам</t>
    </r>
  </si>
  <si>
    <r>
      <t>Вышеперечисленные зоны отчуждения присутствуют,</t>
    </r>
    <r>
      <rPr>
        <b/>
        <i/>
        <sz val="8"/>
        <color theme="1"/>
        <rFont val="Calibri"/>
        <family val="2"/>
        <scheme val="minor"/>
      </rPr>
      <t xml:space="preserve"> но не облагаются ЗОУИТ</t>
    </r>
    <r>
      <rPr>
        <i/>
        <sz val="8"/>
        <color theme="1"/>
        <rFont val="Calibri"/>
        <family val="2"/>
        <scheme val="minor"/>
      </rPr>
      <t xml:space="preserve"> и иными ограничениями, либо наоборот, вокруг может находиться любая деятельность</t>
    </r>
  </si>
  <si>
    <r>
      <t xml:space="preserve"> ЖК находится в</t>
    </r>
    <r>
      <rPr>
        <b/>
        <i/>
        <sz val="8"/>
        <color theme="1"/>
        <rFont val="Calibri"/>
        <family val="2"/>
        <scheme val="minor"/>
      </rPr>
      <t xml:space="preserve"> окружении зон отчуждения (</t>
    </r>
    <r>
      <rPr>
        <i/>
        <sz val="8"/>
        <color theme="1"/>
        <rFont val="Calibri"/>
        <family val="2"/>
        <scheme val="minor"/>
      </rPr>
      <t xml:space="preserve">бывшие военные базы или заброшенные производственные территории, гаражи, пустыри, лес, поле),  со всех сторон, а также территории и </t>
    </r>
    <r>
      <rPr>
        <b/>
        <i/>
        <sz val="8"/>
        <color theme="1"/>
        <rFont val="Calibri"/>
        <family val="2"/>
        <scheme val="minor"/>
      </rPr>
      <t>облагается ЗОУИТ</t>
    </r>
  </si>
  <si>
    <r>
      <t xml:space="preserve">Территория в радиусе 400 м от границы ЖК является </t>
    </r>
    <r>
      <rPr>
        <b/>
        <i/>
        <sz val="8"/>
        <color theme="1"/>
        <rFont val="Calibri"/>
        <family val="2"/>
        <scheme val="minor"/>
      </rPr>
      <t>исключительно жилой</t>
    </r>
  </si>
  <si>
    <r>
      <t xml:space="preserve">В радиусе 400 м от границы </t>
    </r>
    <r>
      <rPr>
        <b/>
        <i/>
        <sz val="8"/>
        <color theme="1"/>
        <rFont val="Calibri"/>
        <family val="2"/>
        <scheme val="minor"/>
      </rPr>
      <t>ЖК отсутствуют ОДЗ</t>
    </r>
    <r>
      <rPr>
        <i/>
        <sz val="8"/>
        <color theme="1"/>
        <rFont val="Calibri"/>
        <family val="2"/>
        <scheme val="minor"/>
      </rPr>
      <t xml:space="preserve"> (зоны делового, общественного и коммерческого назначения, размещения объектов социального и коммунально-бытового назначения, зоны обслуживания объектов, необходимых для осуществления производственной и предпринимательской деятельности, общественно-деловые зоны иных видов) согласно ГрК РФ Статья 35. Виды и состав территориальных зон</t>
    </r>
  </si>
  <si>
    <r>
      <t>В радиусе 400 м от границы Ж</t>
    </r>
    <r>
      <rPr>
        <b/>
        <i/>
        <sz val="8"/>
        <color theme="1"/>
        <rFont val="Calibri"/>
        <family val="2"/>
        <scheme val="minor"/>
      </rPr>
      <t>К присутствуют ОДЗ менее 20%</t>
    </r>
    <r>
      <rPr>
        <i/>
        <sz val="8"/>
        <color theme="1"/>
        <rFont val="Calibri"/>
        <family val="2"/>
        <scheme val="minor"/>
      </rPr>
      <t xml:space="preserve">, а остальная часть занята </t>
    </r>
    <r>
      <rPr>
        <b/>
        <i/>
        <sz val="8"/>
        <color theme="1"/>
        <rFont val="Calibri"/>
        <family val="2"/>
        <scheme val="minor"/>
      </rPr>
      <t>зонами спец. назначения</t>
    </r>
    <r>
      <rPr>
        <i/>
        <sz val="8"/>
        <color theme="1"/>
        <rFont val="Calibri"/>
        <family val="2"/>
        <scheme val="minor"/>
      </rPr>
      <t>, производств. использования, инженер. и трансп. назначения, с/х</t>
    </r>
  </si>
  <si>
    <r>
      <t xml:space="preserve">В радиусе 400 м от границы ЖК </t>
    </r>
    <r>
      <rPr>
        <b/>
        <i/>
        <sz val="8"/>
        <color theme="1"/>
        <rFont val="Calibri"/>
        <family val="2"/>
        <scheme val="minor"/>
      </rPr>
      <t>присутствуют ОДЗ менее 20%, остальная часть - жилые зоны</t>
    </r>
  </si>
  <si>
    <r>
      <t xml:space="preserve">В радиусе 400 м от границы ЖК </t>
    </r>
    <r>
      <rPr>
        <b/>
        <i/>
        <sz val="8"/>
        <color theme="1"/>
        <rFont val="Calibri"/>
        <family val="2"/>
        <scheme val="minor"/>
      </rPr>
      <t>ОДЗ присутствуют в объеме 21%</t>
    </r>
    <r>
      <rPr>
        <i/>
        <sz val="8"/>
        <color theme="1"/>
        <rFont val="Calibri"/>
        <family val="2"/>
        <scheme val="minor"/>
      </rPr>
      <t xml:space="preserve"> и более согласно Стандарту КРТ Минстроя России и ДОМ.РФ</t>
    </r>
  </si>
  <si>
    <r>
      <t xml:space="preserve">В радиусе 400 м от границы ЖК </t>
    </r>
    <r>
      <rPr>
        <b/>
        <i/>
        <sz val="8"/>
        <color theme="1"/>
        <rFont val="Calibri"/>
        <family val="2"/>
        <scheme val="minor"/>
      </rPr>
      <t xml:space="preserve">ОДЗ </t>
    </r>
    <r>
      <rPr>
        <i/>
        <sz val="8"/>
        <color theme="1"/>
        <rFont val="Calibri"/>
        <family val="2"/>
        <scheme val="minor"/>
      </rPr>
      <t>присутствуют в объеме 21% и более а также</t>
    </r>
    <r>
      <rPr>
        <b/>
        <i/>
        <sz val="8"/>
        <color theme="1"/>
        <rFont val="Calibri"/>
        <family val="2"/>
        <scheme val="minor"/>
      </rPr>
      <t xml:space="preserve"> рекреационные зоны </t>
    </r>
  </si>
  <si>
    <r>
      <t xml:space="preserve">Территории в радиусе 400 м от границы ЖК </t>
    </r>
    <r>
      <rPr>
        <b/>
        <i/>
        <sz val="8"/>
        <color theme="1"/>
        <rFont val="Calibri"/>
        <family val="2"/>
        <scheme val="minor"/>
      </rPr>
      <t xml:space="preserve">коммерциализирована, </t>
    </r>
    <r>
      <rPr>
        <i/>
        <sz val="8"/>
        <color theme="1"/>
        <rFont val="Calibri"/>
        <family val="2"/>
        <scheme val="minor"/>
      </rPr>
      <t xml:space="preserve">присутствуют </t>
    </r>
    <r>
      <rPr>
        <b/>
        <i/>
        <sz val="8"/>
        <color theme="1"/>
        <rFont val="Calibri"/>
        <family val="2"/>
        <scheme val="minor"/>
      </rPr>
      <t>ОДЗ, жилые, рекреационные зоны</t>
    </r>
    <r>
      <rPr>
        <i/>
        <sz val="8"/>
        <color theme="1"/>
        <rFont val="Calibri"/>
        <family val="2"/>
        <scheme val="minor"/>
      </rPr>
      <t>, в них может присутствовать любая деятельность, приносящая доход, все зоны имеют четкое функциональное назначение и правовой статус</t>
    </r>
  </si>
  <si>
    <t>Челябинск ЖК "Залесье"</t>
  </si>
  <si>
    <r>
      <t>Внутри ЖК и в радиусе 200 м от входной группы присутствуют возможные</t>
    </r>
    <r>
      <rPr>
        <b/>
        <i/>
        <sz val="8"/>
        <color theme="1"/>
        <rFont val="Calibri"/>
        <family val="2"/>
        <scheme val="minor"/>
      </rPr>
      <t xml:space="preserve"> места для выгула собак</t>
    </r>
  </si>
  <si>
    <t>Челябинск ЖК "Эвопарк"</t>
  </si>
  <si>
    <t>Владивосток ЖК "Брусника"</t>
  </si>
  <si>
    <t>Владивосток ЖК "Инлав"</t>
  </si>
  <si>
    <t>Севастополь ЖК "Юбилейный"</t>
  </si>
  <si>
    <t>Севастополь ЖК " Ген. Острякова"</t>
  </si>
  <si>
    <t>Севастополь ЖК "Porto Franco"</t>
  </si>
  <si>
    <r>
      <t>Внутри ЖК и в радиусе 1000 м от границы территории ЖК присутствует хотя бы один</t>
    </r>
    <r>
      <rPr>
        <b/>
        <i/>
        <sz val="8"/>
        <color theme="1"/>
        <rFont val="Calibri"/>
        <family val="2"/>
        <scheme val="minor"/>
      </rPr>
      <t xml:space="preserve"> объект культурно-досуговой деятельности</t>
    </r>
    <r>
      <rPr>
        <i/>
        <sz val="8"/>
        <color theme="1"/>
        <rFont val="Calibri"/>
        <family val="2"/>
        <scheme val="minor"/>
      </rPr>
      <t xml:space="preserve"> (коворкинг, библиотека, галерея, театр, кинотеатр, творческое пространство, лекторий, музей, центр отдыха и иное) и/или крытые спортивные объекты (спортзалы, бассейны, теннисные корты и т.д.), точки роста (строящиеся объекты, инвестиционные проекты), транспортные хабы, деловые центры, средние и высшие учебные заведения и т.п.</t>
    </r>
  </si>
  <si>
    <t>Брянск ЖК "Соловьи"</t>
  </si>
  <si>
    <t>Брянск ЖК "В пер. Менжинского"</t>
  </si>
  <si>
    <t>Южно-Сахалинск ЖК "Верба"</t>
  </si>
  <si>
    <t>Южно-Сахалинск ЖК "Грин Палас"</t>
  </si>
  <si>
    <t>Южно-Сахалинск ЖК "Адмирал"</t>
  </si>
  <si>
    <t>Иркутск ЖК "Бабр"</t>
  </si>
  <si>
    <t>Иркутск ЖК "Южный парк"</t>
  </si>
  <si>
    <t>Гатчина ЖК "Музыкальный парк"</t>
  </si>
  <si>
    <t>Гатчина ЖК "Высший пилотаж"</t>
  </si>
  <si>
    <t>Гатчина ЖК "Перспектива"</t>
  </si>
  <si>
    <t>Ср. значения фактора 1:</t>
  </si>
  <si>
    <t>Ср. значения фактора 2:</t>
  </si>
  <si>
    <t>Ср. значения фактора 3:</t>
  </si>
  <si>
    <t>Ср. значения фактора 4:</t>
  </si>
  <si>
    <r>
      <t xml:space="preserve">Оценка факторов среды </t>
    </r>
    <r>
      <rPr>
        <b/>
        <sz val="12"/>
        <color theme="1"/>
        <rFont val="Calibri"/>
        <family val="2"/>
        <scheme val="minor"/>
      </rPr>
      <t>(п-ры ЖК средние)</t>
    </r>
  </si>
  <si>
    <r>
      <t xml:space="preserve">Оценка факторов ЖК </t>
    </r>
    <r>
      <rPr>
        <b/>
        <sz val="12"/>
        <color theme="1"/>
        <rFont val="Calibri"/>
        <family val="2"/>
        <scheme val="minor"/>
      </rPr>
      <t>(п-ры среды средние)</t>
    </r>
  </si>
  <si>
    <r>
      <t xml:space="preserve">Оценка факторов ЖК </t>
    </r>
    <r>
      <rPr>
        <b/>
        <sz val="12"/>
        <color theme="1"/>
        <rFont val="Calibri"/>
        <family val="2"/>
        <scheme val="minor"/>
      </rPr>
      <t>(п-ры среды средние</t>
    </r>
    <r>
      <rPr>
        <sz val="12"/>
        <color theme="1"/>
        <rFont val="Calibri"/>
        <family val="2"/>
        <charset val="204"/>
        <scheme val="minor"/>
      </rPr>
      <t>)</t>
    </r>
  </si>
  <si>
    <r>
      <t xml:space="preserve">Оценкафакторов среды </t>
    </r>
    <r>
      <rPr>
        <b/>
        <sz val="12"/>
        <color theme="1"/>
        <rFont val="Calibri"/>
        <family val="2"/>
        <scheme val="minor"/>
      </rPr>
      <t>(п-ры ЖК средние)</t>
    </r>
  </si>
  <si>
    <t>Оценка среды:</t>
  </si>
  <si>
    <t>Оценка ЖК:</t>
  </si>
  <si>
    <t>Ур. Восприятие безопасности</t>
  </si>
  <si>
    <t>Ур. Возможности для социального взаимодействия</t>
  </si>
  <si>
    <t>Ур. повседневная сервисная обеспеченность</t>
  </si>
  <si>
    <t>Ур. территориального потенциала
территории</t>
  </si>
  <si>
    <t>Ср. значения общие:</t>
  </si>
  <si>
    <t>Ср. значения по этапам:</t>
  </si>
  <si>
    <t>ср. знач.:</t>
  </si>
  <si>
    <t>медиана:</t>
  </si>
  <si>
    <t>↑ (39%)</t>
  </si>
  <si>
    <t>↑ (36%)</t>
  </si>
  <si>
    <t>↓(14%)</t>
  </si>
  <si>
    <t>↓(10%)</t>
  </si>
  <si>
    <t>↓(8%)</t>
  </si>
  <si>
    <t>↑ (34%)</t>
  </si>
  <si>
    <t>↑ (33%)</t>
  </si>
  <si>
    <t>↑ (31%)</t>
  </si>
  <si>
    <t>↓(11%)</t>
  </si>
  <si>
    <t>ср. значения разных град. ситуаций:</t>
  </si>
  <si>
    <t>Ср. значения оценок 1 этапа (среды) и 2 этапа (ЖК): →</t>
  </si>
  <si>
    <t>Ср. значения и медиана по каждому фактору в общем: →</t>
  </si>
  <si>
    <t>Тенденции реализации факторов по каждой град. ситуации: →</t>
  </si>
  <si>
    <t>Наличие объектов повседневной инфраструктуры на пешеходных путях с периодичностью до 150 м (социальные объекты, магазины, МАФы)</t>
  </si>
  <si>
    <t>Оценка факторов среды (п-ры ЖК средние)</t>
  </si>
  <si>
    <t>Оценка факторов ЖК (п-ры среды средние)</t>
  </si>
  <si>
    <t>Оценкафакторов среды (п-ры ЖК средние)</t>
  </si>
  <si>
    <t>Эта таблица предназначена для использования алгоритма оценки проектов жилых комплексов на разных этапах жизненного цикла и рекомендаций по минимизации потребностно-ценностных дефицитов. Суть метода заключается в способности диагностировать дефициты и формулировать рекомендации по их минимизации пространственными и непространственными мерами. Чтобы узнать конкретные рекомендации по оцененной территории, обратитесь к тексту работы, п "2.5 Рекомендации по минимизации выявленных дефицитов проектов".</t>
  </si>
  <si>
    <t>Чтобы выявить дефициты территории, отвечайте на вопросы "+" (без кавычек), если утверждение верно, и оставьте поле пустым, если утверджение неверно.</t>
  </si>
  <si>
    <t>В зависимости от сценария пользования: I сценарий - если ваше  техническое задание на строительство ЖК поддается корректировке, и II сценарием, если проект на стадии реализации или уже реализован. Обратитесь к соответствующему листу данного документа</t>
  </si>
  <si>
    <t>эти данные о среде вокруг, принимаются как данность</t>
  </si>
  <si>
    <t>эти данные одновременно о среде внутри и за пределами ЖК. эти данные - полуданность. Если они реализованы не полностью, то компенсируются за счет создания инфраструктуры внутри модели</t>
  </si>
  <si>
    <t>эти данные о среде внутри ЖК</t>
  </si>
  <si>
    <t>Маршруты и пространства объектов вблизи предполагаемой территории ЖК в радиусе 400 м хорошо освещены, просматриваются и не содержат «убежищ», есть естественное наблюдение (витрины, активные фасады на маршруты)</t>
  </si>
  <si>
    <t>Наличие объектов повседневной инфраструктуры на пешеходных путях в радиусе 400 м от предполагаемой территории ЖК с переодичностью до 150 м (социальные объекты, магазины, МАФы)</t>
  </si>
  <si>
    <t>Основные пешеходные маршруты от предполагаемой территории ЖК до ближайших узлов активности обеспечены освещением и обустройством (детсад, школа, поликлиника, магазин повседневного спроса, остановки и т.п.)</t>
  </si>
  <si>
    <t>Ухоженная, просматриваемая растительность, не закрывающая обзор в радиусе 400 м от предполагаемой территории ЖК</t>
  </si>
  <si>
    <t>В радиусе 400 м от предполагаемой территории ЖК присутствует хотя бы один объект первой необходимости: магазин с ассортиментом продовольственного и/или непродовольственного товаров повседневного спроса, универсального, неширокого ассортимента согласно ГОСТ Р 51773-2009 «Классификация предприятий торговли»</t>
  </si>
  <si>
    <r>
      <rPr>
        <b/>
        <i/>
        <sz val="8"/>
        <color theme="1"/>
        <rFont val="Calibri"/>
        <family val="2"/>
        <scheme val="minor"/>
      </rPr>
      <t>Насыщенность общественно-сервисными узлами и площадками повседневной активности</t>
    </r>
    <r>
      <rPr>
        <i/>
        <sz val="8"/>
        <color theme="1"/>
        <rFont val="Calibri"/>
        <family val="2"/>
        <scheme val="minor"/>
      </rPr>
      <t xml:space="preserve"> (малый бизнес, госучреждения, спортзалы и спортплощадки; кафе/кофейни/закусочные; продуктовые и книжные магазины, галереи; парки, велоинфраструктура, транспортные хабы, деловые центры, школы/колледжи/вузы и т.п.) вблизи предполагаемой территории ЖК в радиусе 400 м</t>
    </r>
  </si>
  <si>
    <t>В радиусе 400 м от предполагаемой территории ЖК присутствует многопрофильная торговля, не нормируемая СП 42.13330, но улучшающая качество среды (многопрофильная торговля по ГОСТ Р 51773-2009, малый бизнес: кафе, кофейни, закусочные, книжные/канцелярские, одежда/обувь, парфюмерия, здоровье и пр.).</t>
  </si>
  <si>
    <t>В радиусе 400 м от предполагаемой территории ЖК присутствует хотя бы один объект культурно-досуговой деятельности (коворкинг, библиотека, галерея, театр, кинотеатр, творческое пространство, лекторий, музей, центр отдыха и иное) и/или крытые спортивные объекты (спортзалы, бассейны, теннисные корты и т.д.), точки роста (строящиеся объекты, инвестиционные проекты), транспортные хабы, деловые центры, средние и высшие учебные заведения и т.п.</t>
  </si>
  <si>
    <t>В радиусе 400 м от предполагаемой территории ЖК присутствует благоустроенный парк, сквер, лесопарк с инфраструктурой для времяпрепровождения</t>
  </si>
  <si>
    <r>
      <t>В радиусе 400 м от предполагаемой территории ЖК присутствует</t>
    </r>
    <r>
      <rPr>
        <b/>
        <i/>
        <sz val="8"/>
        <color theme="1"/>
        <rFont val="Calibri"/>
        <family val="2"/>
        <scheme val="minor"/>
      </rPr>
      <t xml:space="preserve"> общедоступное, вероятно бесплатное место</t>
    </r>
    <r>
      <rPr>
        <i/>
        <sz val="8"/>
        <color theme="1"/>
        <rFont val="Calibri"/>
        <family val="2"/>
        <scheme val="minor"/>
      </rPr>
      <t xml:space="preserve"> досуговой инфраструктуры (благоустроенный парк, культурное/спортивное сооружение, стадион)</t>
    </r>
  </si>
  <si>
    <t>В радиусе 200 м присутствуют возможные места для выгула собак</t>
  </si>
  <si>
    <r>
      <t xml:space="preserve">В радиусе 400 м от предполагаемой входной группы предприятие </t>
    </r>
    <r>
      <rPr>
        <b/>
        <i/>
        <sz val="8"/>
        <color theme="1"/>
        <rFont val="Calibri"/>
        <family val="2"/>
        <scheme val="minor"/>
      </rPr>
      <t>узкого/ограниченного ассортимента продовольственной/непродовольственной торговли</t>
    </r>
    <r>
      <rPr>
        <i/>
        <sz val="8"/>
        <color theme="1"/>
        <rFont val="Calibri"/>
        <family val="2"/>
        <scheme val="minor"/>
      </rPr>
      <t xml:space="preserve"> товарами частного спроса согласно ГОСТ Р 51773-2009 (минимаркеты, универсамы, продуктовые, товары повседневного спроса и т.п.)</t>
    </r>
  </si>
  <si>
    <t>В радиусе 400 м от предполагаемой входной группы присутствует более одного предприятия широкого/универсального ассортимента продовольственной и непродовольственной торговли товарами, в том числе товарные комплексы согласно ГОСТ Р 51773-2009 (гипермаркеты, универмаги, супермаркеты, товары для дома и пр.)</t>
  </si>
  <si>
    <r>
      <t xml:space="preserve">В радиусе 400 м от предполагаемой входной группы присутвует </t>
    </r>
    <r>
      <rPr>
        <b/>
        <i/>
        <sz val="8"/>
        <color theme="1"/>
        <rFont val="Calibri"/>
        <family val="2"/>
        <scheme val="minor"/>
      </rPr>
      <t>более одного неспециализированного предприятия торговли широкого профил</t>
    </r>
    <r>
      <rPr>
        <i/>
        <sz val="8"/>
        <color theme="1"/>
        <rFont val="Calibri"/>
        <family val="2"/>
        <scheme val="minor"/>
      </rPr>
      <t>я согласно ГОСТ Р 51773-2009 (дискаунтер, промтовары, магазин-салон, бутик, магазины для творчества, электроника и т.п.)</t>
    </r>
  </si>
  <si>
    <r>
      <t xml:space="preserve">Предполагаемый ЖК находится </t>
    </r>
    <r>
      <rPr>
        <b/>
        <i/>
        <sz val="8"/>
        <color theme="1"/>
        <rFont val="Calibri"/>
        <family val="2"/>
        <scheme val="minor"/>
      </rPr>
      <t>в окружении зон отчуждения</t>
    </r>
    <r>
      <rPr>
        <i/>
        <sz val="8"/>
        <color theme="1"/>
        <rFont val="Calibri"/>
        <family val="2"/>
        <scheme val="minor"/>
      </rPr>
      <t xml:space="preserve"> (бывшие военные базы или заброшенные производственные территории, гаражи, пустыри, лес, поле), со всех сторон, а также территории </t>
    </r>
    <r>
      <rPr>
        <b/>
        <i/>
        <sz val="8"/>
        <color theme="1"/>
        <rFont val="Calibri"/>
        <family val="2"/>
        <scheme val="minor"/>
      </rPr>
      <t>и облагается ЗОУИТ</t>
    </r>
  </si>
  <si>
    <r>
      <t xml:space="preserve">Территория в радиусе 400 м от предполагаемой границы ЖК является </t>
    </r>
    <r>
      <rPr>
        <b/>
        <i/>
        <sz val="8"/>
        <color theme="1"/>
        <rFont val="Calibri"/>
        <family val="2"/>
        <scheme val="minor"/>
      </rPr>
      <t>исключительно жилой</t>
    </r>
  </si>
  <si>
    <r>
      <t xml:space="preserve">Территории в радиусе 400 м от предполагаемой границы ЖК </t>
    </r>
    <r>
      <rPr>
        <b/>
        <i/>
        <sz val="8"/>
        <color theme="1"/>
        <rFont val="Calibri"/>
        <family val="2"/>
        <scheme val="minor"/>
      </rPr>
      <t>коммерциализирована</t>
    </r>
    <r>
      <rPr>
        <i/>
        <sz val="8"/>
        <color theme="1"/>
        <rFont val="Calibri"/>
        <family val="2"/>
        <scheme val="minor"/>
      </rPr>
      <t xml:space="preserve">, присутствуют </t>
    </r>
    <r>
      <rPr>
        <b/>
        <i/>
        <sz val="8"/>
        <color theme="1"/>
        <rFont val="Calibri"/>
        <family val="2"/>
        <scheme val="minor"/>
      </rPr>
      <t>ОДЗ, жилые, рекреационные зоны</t>
    </r>
    <r>
      <rPr>
        <i/>
        <sz val="8"/>
        <color theme="1"/>
        <rFont val="Calibri"/>
        <family val="2"/>
        <scheme val="minor"/>
      </rPr>
      <t>, в них может присутствовать любая деятельность, приносящая доход, все зоны имеют четкое функциональное назначение и правовой статус</t>
    </r>
  </si>
  <si>
    <r>
      <t xml:space="preserve">В радиусе 400 м от предполагаемой границы ЖК </t>
    </r>
    <r>
      <rPr>
        <b/>
        <i/>
        <sz val="8"/>
        <color theme="1"/>
        <rFont val="Calibri"/>
        <family val="2"/>
        <scheme val="minor"/>
      </rPr>
      <t>отсутствуют ОДЗ</t>
    </r>
    <r>
      <rPr>
        <i/>
        <sz val="8"/>
        <color theme="1"/>
        <rFont val="Calibri"/>
        <family val="2"/>
        <scheme val="minor"/>
      </rPr>
      <t xml:space="preserve"> (зоны делового, общественного и коммерческого назначения, размещения объектов социального и коммунально-бытового назначения, зоны обслуживания объектов, необходимых для осуществления производственной и предпринимательской деятельности, общественно-деловые зоны иных видов) согласно ГрК РФ Статья 35. Виды и состав территориальных зон</t>
    </r>
  </si>
  <si>
    <r>
      <t xml:space="preserve">В радиусе 400 м от предполагаемой границы ЖК </t>
    </r>
    <r>
      <rPr>
        <b/>
        <i/>
        <sz val="8"/>
        <color theme="1"/>
        <rFont val="Calibri"/>
        <family val="2"/>
        <scheme val="minor"/>
      </rPr>
      <t xml:space="preserve"> присутствуют ОДЗ менее 20%</t>
    </r>
    <r>
      <rPr>
        <i/>
        <sz val="8"/>
        <color theme="1"/>
        <rFont val="Calibri"/>
        <family val="2"/>
        <scheme val="minor"/>
      </rPr>
      <t xml:space="preserve">, а остальная часть занята </t>
    </r>
    <r>
      <rPr>
        <b/>
        <i/>
        <sz val="8"/>
        <color theme="1"/>
        <rFont val="Calibri"/>
        <family val="2"/>
        <scheme val="minor"/>
      </rPr>
      <t>зонами спец. назначения</t>
    </r>
    <r>
      <rPr>
        <i/>
        <sz val="8"/>
        <color theme="1"/>
        <rFont val="Calibri"/>
        <family val="2"/>
        <scheme val="minor"/>
      </rPr>
      <t>, производств. использования, инженер. и трансп. назначения, с/х</t>
    </r>
  </si>
  <si>
    <r>
      <t xml:space="preserve">В радиусе 400 м от предполагаемой границы ЖК  </t>
    </r>
    <r>
      <rPr>
        <b/>
        <i/>
        <sz val="8"/>
        <color theme="1"/>
        <rFont val="Calibri"/>
        <family val="2"/>
        <scheme val="minor"/>
      </rPr>
      <t>присутствуют ОДЗ менее 20%, остальная часть - жилые зоны</t>
    </r>
  </si>
  <si>
    <r>
      <t xml:space="preserve">В радиусе 400 м от предполагаемой границы ЖК  </t>
    </r>
    <r>
      <rPr>
        <b/>
        <i/>
        <sz val="8"/>
        <color theme="1"/>
        <rFont val="Calibri"/>
        <family val="2"/>
        <scheme val="minor"/>
      </rPr>
      <t>ОДЗ присутствуют в объеме 21%</t>
    </r>
    <r>
      <rPr>
        <i/>
        <sz val="8"/>
        <color theme="1"/>
        <rFont val="Calibri"/>
        <family val="2"/>
        <scheme val="minor"/>
      </rPr>
      <t xml:space="preserve"> и более согласно Стандарту КРТ Минстроя России и ДОМ.РФ</t>
    </r>
  </si>
  <si>
    <r>
      <t xml:space="preserve">В радиусе 400 м от предполагаемой границы ЖК </t>
    </r>
    <r>
      <rPr>
        <b/>
        <i/>
        <sz val="8"/>
        <color theme="1"/>
        <rFont val="Calibri"/>
        <family val="2"/>
        <scheme val="minor"/>
      </rPr>
      <t xml:space="preserve">ОДЗ </t>
    </r>
    <r>
      <rPr>
        <i/>
        <sz val="8"/>
        <color theme="1"/>
        <rFont val="Calibri"/>
        <family val="2"/>
        <scheme val="minor"/>
      </rPr>
      <t>присутствуют в объеме 21% и более а также</t>
    </r>
    <r>
      <rPr>
        <b/>
        <i/>
        <sz val="8"/>
        <color theme="1"/>
        <rFont val="Calibri"/>
        <family val="2"/>
        <scheme val="minor"/>
      </rPr>
      <t xml:space="preserve"> рекреационные и жилые зоны </t>
    </r>
  </si>
  <si>
    <t>Ниже Набор факторов и параметров для оценки жилой территории:</t>
  </si>
  <si>
    <t>Чтобы узнать конкретные рекомендации по оцененной территории, обратитесь к тексту работы, пункт "2.5 Рекомендации по минимизации выявленных дефицитов проектов".</t>
  </si>
  <si>
    <t>Номер параметра</t>
  </si>
  <si>
    <t>Полученный балл</t>
  </si>
  <si>
    <t>Итоговая оценка параметра</t>
  </si>
  <si>
    <t>Итоговая оценка непространственного фактора</t>
  </si>
  <si>
    <t>Нужны ли пространственные рекомендации?</t>
  </si>
  <si>
    <t>Нужны ли непространственные меры?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</si>
</sst>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sz val="28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2"/>
      <color rgb="FF000000"/>
      <name val="Calibri"/>
      <family val="2"/>
      <charset val="204"/>
      <scheme val="minor"/>
    </font>
    <font>
      <u/>
      <sz val="12"/>
      <color theme="1"/>
      <name val="Calibri"/>
      <family val="2"/>
      <charset val="204"/>
      <scheme val="minor"/>
    </font>
    <font>
      <b/>
      <i/>
      <sz val="8"/>
      <color theme="1"/>
      <name val="Calibri"/>
      <family val="2"/>
      <scheme val="minor"/>
    </font>
    <font>
      <u/>
      <sz val="12"/>
      <color theme="9" tint="0.39997558519241921"/>
      <name val="Calibri"/>
      <family val="2"/>
      <charset val="204"/>
      <scheme val="minor"/>
    </font>
    <font>
      <sz val="12"/>
      <color theme="9" tint="0.3999755851924192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b/>
      <u/>
      <sz val="14"/>
      <color rgb="FFFF0000"/>
      <name val="Calibri"/>
      <family val="2"/>
      <scheme val="minor"/>
    </font>
    <font>
      <b/>
      <u/>
      <sz val="14"/>
      <color rgb="FF00B05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i/>
      <u/>
      <sz val="14"/>
      <color rgb="FFFF0000"/>
      <name val="Calibri"/>
      <family val="2"/>
      <scheme val="minor"/>
    </font>
    <font>
      <b/>
      <i/>
      <sz val="14"/>
      <color rgb="FF00B050"/>
      <name val="Calibri"/>
      <family val="2"/>
      <scheme val="minor"/>
    </font>
    <font>
      <b/>
      <i/>
      <u/>
      <sz val="14"/>
      <color rgb="FF00B050"/>
      <name val="Calibri"/>
      <family val="2"/>
      <scheme val="minor"/>
    </font>
    <font>
      <b/>
      <sz val="14"/>
      <color theme="2"/>
      <name val="Calibri"/>
      <family val="2"/>
      <scheme val="minor"/>
    </font>
    <font>
      <sz val="12"/>
      <color rgb="FF00B0F0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5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8CB"/>
        <bgColor indexed="64"/>
      </patternFill>
    </fill>
    <fill>
      <patternFill patternType="solid">
        <fgColor rgb="FFF4FFC0"/>
        <bgColor indexed="64"/>
      </patternFill>
    </fill>
    <fill>
      <patternFill patternType="solid">
        <fgColor theme="4" tint="0.79998168889431442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theme="0" tint="-0.499984740745262"/>
      </right>
      <top/>
      <bottom/>
      <diagonal/>
    </border>
    <border>
      <left style="medium">
        <color theme="1"/>
      </left>
      <right/>
      <top/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/>
      <right/>
      <top/>
      <bottom style="medium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/>
      <right style="thin">
        <color theme="0" tint="-0.499984740745262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/>
      <right style="thin">
        <color theme="0" tint="-0.499984740745262"/>
      </right>
      <top style="medium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20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49" fontId="0" fillId="4" borderId="1" xfId="0" applyNumberFormat="1" applyFill="1" applyBorder="1"/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4" xfId="0" applyBorder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 wrapText="1"/>
    </xf>
    <xf numFmtId="0" fontId="0" fillId="4" borderId="6" xfId="0" applyFill="1" applyBorder="1"/>
    <xf numFmtId="0" fontId="0" fillId="0" borderId="7" xfId="0" applyBorder="1"/>
    <xf numFmtId="0" fontId="5" fillId="0" borderId="8" xfId="0" applyFont="1" applyBorder="1" applyAlignment="1">
      <alignment vertical="center" wrapText="1"/>
    </xf>
    <xf numFmtId="0" fontId="0" fillId="4" borderId="9" xfId="0" applyFill="1" applyBorder="1"/>
    <xf numFmtId="0" fontId="5" fillId="0" borderId="10" xfId="0" applyFont="1" applyBorder="1" applyAlignment="1">
      <alignment vertical="center"/>
    </xf>
    <xf numFmtId="0" fontId="5" fillId="0" borderId="10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6" borderId="1" xfId="0" applyFill="1" applyBorder="1" applyAlignment="1">
      <alignment horizontal="center" wrapText="1"/>
    </xf>
    <xf numFmtId="0" fontId="0" fillId="6" borderId="1" xfId="0" applyFill="1" applyBorder="1"/>
    <xf numFmtId="0" fontId="6" fillId="6" borderId="1" xfId="0" applyFont="1" applyFill="1" applyBorder="1"/>
    <xf numFmtId="0" fontId="0" fillId="0" borderId="1" xfId="0" applyBorder="1"/>
    <xf numFmtId="0" fontId="0" fillId="2" borderId="1" xfId="0" applyFill="1" applyBorder="1" applyAlignment="1">
      <alignment horizontal="center" wrapText="1"/>
    </xf>
    <xf numFmtId="0" fontId="0" fillId="7" borderId="1" xfId="0" applyFill="1" applyBorder="1" applyAlignment="1">
      <alignment horizontal="center" wrapText="1"/>
    </xf>
    <xf numFmtId="0" fontId="0" fillId="2" borderId="1" xfId="0" applyFill="1" applyBorder="1"/>
    <xf numFmtId="0" fontId="0" fillId="7" borderId="1" xfId="0" applyFill="1" applyBorder="1"/>
    <xf numFmtId="0" fontId="0" fillId="6" borderId="12" xfId="0" applyFill="1" applyBorder="1" applyAlignment="1">
      <alignment horizontal="center" wrapText="1"/>
    </xf>
    <xf numFmtId="0" fontId="0" fillId="6" borderId="12" xfId="0" applyFill="1" applyBorder="1"/>
    <xf numFmtId="0" fontId="0" fillId="0" borderId="13" xfId="0" applyBorder="1"/>
    <xf numFmtId="0" fontId="0" fillId="0" borderId="14" xfId="0" applyBorder="1"/>
    <xf numFmtId="0" fontId="0" fillId="0" borderId="17" xfId="0" applyBorder="1"/>
    <xf numFmtId="0" fontId="0" fillId="0" borderId="19" xfId="0" applyBorder="1"/>
    <xf numFmtId="0" fontId="0" fillId="0" borderId="25" xfId="0" applyBorder="1"/>
    <xf numFmtId="0" fontId="0" fillId="7" borderId="11" xfId="0" applyFill="1" applyBorder="1"/>
    <xf numFmtId="0" fontId="0" fillId="0" borderId="3" xfId="0" applyBorder="1"/>
    <xf numFmtId="0" fontId="0" fillId="6" borderId="26" xfId="0" applyFill="1" applyBorder="1"/>
    <xf numFmtId="0" fontId="0" fillId="0" borderId="27" xfId="0" applyBorder="1"/>
    <xf numFmtId="0" fontId="0" fillId="0" borderId="28" xfId="0" applyBorder="1" applyAlignment="1">
      <alignment wrapText="1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wrapText="1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wrapText="1"/>
    </xf>
    <xf numFmtId="0" fontId="0" fillId="0" borderId="33" xfId="0" applyBorder="1" applyAlignment="1">
      <alignment horizontal="center" vertical="center"/>
    </xf>
    <xf numFmtId="9" fontId="12" fillId="2" borderId="15" xfId="1" applyFont="1" applyFill="1" applyBorder="1" applyAlignment="1">
      <alignment horizontal="center" vertical="center"/>
    </xf>
    <xf numFmtId="9" fontId="12" fillId="6" borderId="3" xfId="1" applyFont="1" applyFill="1" applyBorder="1" applyAlignment="1">
      <alignment horizontal="center" vertical="center"/>
    </xf>
    <xf numFmtId="9" fontId="12" fillId="2" borderId="3" xfId="1" applyFont="1" applyFill="1" applyBorder="1" applyAlignment="1">
      <alignment horizontal="center" vertical="center"/>
    </xf>
    <xf numFmtId="9" fontId="12" fillId="7" borderId="18" xfId="1" applyFont="1" applyFill="1" applyBorder="1" applyAlignment="1">
      <alignment horizontal="center" vertical="center"/>
    </xf>
    <xf numFmtId="9" fontId="12" fillId="7" borderId="3" xfId="1" applyFont="1" applyFill="1" applyBorder="1" applyAlignment="1">
      <alignment horizontal="center" vertical="center"/>
    </xf>
    <xf numFmtId="9" fontId="13" fillId="6" borderId="20" xfId="1" applyFont="1" applyFill="1" applyBorder="1" applyAlignment="1">
      <alignment horizontal="center" vertical="center"/>
    </xf>
    <xf numFmtId="9" fontId="14" fillId="2" borderId="20" xfId="1" applyFont="1" applyFill="1" applyBorder="1" applyAlignment="1">
      <alignment horizontal="center" vertical="center"/>
    </xf>
    <xf numFmtId="9" fontId="0" fillId="0" borderId="3" xfId="1" applyFont="1" applyFill="1" applyBorder="1"/>
    <xf numFmtId="9" fontId="12" fillId="6" borderId="22" xfId="1" applyFont="1" applyFill="1" applyBorder="1"/>
    <xf numFmtId="9" fontId="12" fillId="6" borderId="23" xfId="1" applyFont="1" applyFill="1" applyBorder="1"/>
    <xf numFmtId="9" fontId="12" fillId="2" borderId="23" xfId="1" applyFont="1" applyFill="1" applyBorder="1"/>
    <xf numFmtId="9" fontId="12" fillId="7" borderId="23" xfId="1" applyFont="1" applyFill="1" applyBorder="1"/>
    <xf numFmtId="9" fontId="12" fillId="7" borderId="24" xfId="1" applyFont="1" applyFill="1" applyBorder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0" borderId="0" xfId="0" applyFont="1"/>
    <xf numFmtId="0" fontId="6" fillId="0" borderId="0" xfId="0" applyFont="1"/>
    <xf numFmtId="9" fontId="12" fillId="0" borderId="0" xfId="1" applyFont="1" applyFill="1" applyBorder="1"/>
    <xf numFmtId="9" fontId="15" fillId="0" borderId="0" xfId="1" applyFont="1" applyFill="1" applyBorder="1"/>
    <xf numFmtId="0" fontId="6" fillId="0" borderId="14" xfId="0" applyFont="1" applyBorder="1"/>
    <xf numFmtId="0" fontId="6" fillId="0" borderId="17" xfId="0" applyFont="1" applyBorder="1"/>
    <xf numFmtId="0" fontId="6" fillId="0" borderId="19" xfId="0" applyFont="1" applyBorder="1"/>
    <xf numFmtId="0" fontId="0" fillId="0" borderId="3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9" fontId="12" fillId="6" borderId="1" xfId="1" applyFont="1" applyFill="1" applyBorder="1" applyAlignment="1">
      <alignment horizontal="center" vertical="center"/>
    </xf>
    <xf numFmtId="9" fontId="15" fillId="6" borderId="1" xfId="1" applyFont="1" applyFill="1" applyBorder="1" applyAlignment="1">
      <alignment horizontal="center" vertical="center"/>
    </xf>
    <xf numFmtId="9" fontId="12" fillId="0" borderId="0" xfId="1" applyFont="1" applyFill="1" applyBorder="1" applyAlignment="1">
      <alignment horizontal="center" vertical="center"/>
    </xf>
    <xf numFmtId="9" fontId="15" fillId="0" borderId="0" xfId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4" fillId="6" borderId="36" xfId="0" applyFont="1" applyFill="1" applyBorder="1" applyAlignment="1">
      <alignment horizontal="center" vertical="center"/>
    </xf>
    <xf numFmtId="0" fontId="12" fillId="6" borderId="36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2" fillId="2" borderId="36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0" fontId="15" fillId="7" borderId="12" xfId="0" applyFont="1" applyFill="1" applyBorder="1" applyAlignment="1">
      <alignment horizontal="center" vertical="center"/>
    </xf>
    <xf numFmtId="0" fontId="13" fillId="7" borderId="36" xfId="0" applyFont="1" applyFill="1" applyBorder="1" applyAlignment="1">
      <alignment horizontal="center" vertical="center"/>
    </xf>
    <xf numFmtId="0" fontId="12" fillId="7" borderId="36" xfId="0" applyFont="1" applyFill="1" applyBorder="1" applyAlignment="1">
      <alignment horizontal="center" vertical="center"/>
    </xf>
    <xf numFmtId="0" fontId="17" fillId="0" borderId="0" xfId="0" applyFont="1"/>
    <xf numFmtId="9" fontId="13" fillId="7" borderId="18" xfId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9" fontId="19" fillId="6" borderId="3" xfId="1" applyFont="1" applyFill="1" applyBorder="1" applyAlignment="1">
      <alignment horizontal="center" vertical="center"/>
    </xf>
    <xf numFmtId="9" fontId="20" fillId="2" borderId="15" xfId="1" applyFont="1" applyFill="1" applyBorder="1" applyAlignment="1">
      <alignment horizontal="center" vertical="center"/>
    </xf>
    <xf numFmtId="9" fontId="19" fillId="7" borderId="20" xfId="1" applyFont="1" applyFill="1" applyBorder="1" applyAlignment="1">
      <alignment horizontal="center" vertical="center"/>
    </xf>
    <xf numFmtId="9" fontId="20" fillId="7" borderId="3" xfId="1" applyFont="1" applyFill="1" applyBorder="1" applyAlignment="1">
      <alignment horizontal="center" vertical="center"/>
    </xf>
    <xf numFmtId="9" fontId="21" fillId="2" borderId="3" xfId="1" applyFont="1" applyFill="1" applyBorder="1" applyAlignment="1">
      <alignment horizontal="center" vertical="center"/>
    </xf>
    <xf numFmtId="9" fontId="22" fillId="2" borderId="3" xfId="1" applyFont="1" applyFill="1" applyBorder="1" applyAlignment="1">
      <alignment horizontal="center" vertical="center"/>
    </xf>
    <xf numFmtId="9" fontId="23" fillId="6" borderId="15" xfId="1" applyFont="1" applyFill="1" applyBorder="1" applyAlignment="1">
      <alignment horizontal="center" vertical="center"/>
    </xf>
    <xf numFmtId="9" fontId="24" fillId="6" borderId="15" xfId="1" applyFont="1" applyFill="1" applyBorder="1" applyAlignment="1">
      <alignment horizontal="center" vertical="center"/>
    </xf>
    <xf numFmtId="9" fontId="23" fillId="7" borderId="15" xfId="1" applyFont="1" applyFill="1" applyBorder="1" applyAlignment="1">
      <alignment horizontal="center" vertical="center"/>
    </xf>
    <xf numFmtId="9" fontId="23" fillId="7" borderId="16" xfId="1" applyFont="1" applyFill="1" applyBorder="1" applyAlignment="1">
      <alignment horizontal="center" vertical="center"/>
    </xf>
    <xf numFmtId="0" fontId="25" fillId="6" borderId="36" xfId="0" applyFont="1" applyFill="1" applyBorder="1" applyAlignment="1">
      <alignment horizontal="center" vertical="center"/>
    </xf>
    <xf numFmtId="0" fontId="0" fillId="0" borderId="37" xfId="0" applyBorder="1"/>
    <xf numFmtId="0" fontId="5" fillId="0" borderId="39" xfId="0" applyFont="1" applyBorder="1" applyAlignment="1">
      <alignment vertical="center" wrapText="1"/>
    </xf>
    <xf numFmtId="0" fontId="0" fillId="5" borderId="40" xfId="0" applyFill="1" applyBorder="1"/>
    <xf numFmtId="0" fontId="5" fillId="0" borderId="41" xfId="0" applyFont="1" applyBorder="1" applyAlignment="1">
      <alignment vertical="center" wrapText="1"/>
    </xf>
    <xf numFmtId="0" fontId="5" fillId="0" borderId="44" xfId="0" applyFont="1" applyBorder="1" applyAlignment="1">
      <alignment vertical="center" wrapText="1"/>
    </xf>
    <xf numFmtId="0" fontId="0" fillId="0" borderId="45" xfId="0" applyBorder="1"/>
    <xf numFmtId="0" fontId="5" fillId="0" borderId="46" xfId="0" applyFont="1" applyBorder="1" applyAlignment="1">
      <alignment vertical="center" wrapText="1"/>
    </xf>
    <xf numFmtId="0" fontId="0" fillId="0" borderId="40" xfId="0" applyBorder="1"/>
    <xf numFmtId="0" fontId="5" fillId="0" borderId="48" xfId="0" applyFont="1" applyBorder="1" applyAlignment="1">
      <alignment vertical="center" wrapText="1"/>
    </xf>
    <xf numFmtId="0" fontId="5" fillId="0" borderId="46" xfId="0" applyFont="1" applyBorder="1" applyAlignment="1">
      <alignment vertical="center"/>
    </xf>
    <xf numFmtId="0" fontId="5" fillId="0" borderId="48" xfId="0" applyFont="1" applyBorder="1" applyAlignment="1">
      <alignment vertical="center"/>
    </xf>
    <xf numFmtId="0" fontId="5" fillId="0" borderId="50" xfId="0" applyFont="1" applyBorder="1" applyAlignment="1">
      <alignment vertical="center" wrapText="1"/>
    </xf>
    <xf numFmtId="0" fontId="0" fillId="4" borderId="51" xfId="0" applyFill="1" applyBorder="1"/>
    <xf numFmtId="0" fontId="0" fillId="0" borderId="49" xfId="0" applyBorder="1"/>
    <xf numFmtId="0" fontId="5" fillId="0" borderId="52" xfId="0" applyFont="1" applyBorder="1" applyAlignment="1">
      <alignment vertical="center" wrapText="1"/>
    </xf>
    <xf numFmtId="0" fontId="0" fillId="4" borderId="53" xfId="0" applyFill="1" applyBorder="1"/>
    <xf numFmtId="0" fontId="0" fillId="0" borderId="47" xfId="0" applyBorder="1"/>
    <xf numFmtId="2" fontId="0" fillId="0" borderId="37" xfId="0" applyNumberFormat="1" applyBorder="1" applyAlignment="1">
      <alignment horizontal="center"/>
    </xf>
    <xf numFmtId="2" fontId="0" fillId="0" borderId="43" xfId="0" applyNumberFormat="1" applyBorder="1" applyAlignment="1">
      <alignment horizontal="center"/>
    </xf>
    <xf numFmtId="0" fontId="0" fillId="0" borderId="16" xfId="0" applyBorder="1"/>
    <xf numFmtId="0" fontId="0" fillId="0" borderId="18" xfId="0" applyBorder="1"/>
    <xf numFmtId="0" fontId="0" fillId="0" borderId="21" xfId="0" applyBorder="1"/>
    <xf numFmtId="0" fontId="0" fillId="4" borderId="54" xfId="0" applyFill="1" applyBorder="1"/>
    <xf numFmtId="0" fontId="0" fillId="4" borderId="55" xfId="0" applyFill="1" applyBorder="1"/>
    <xf numFmtId="0" fontId="0" fillId="4" borderId="56" xfId="0" applyFill="1" applyBorder="1"/>
    <xf numFmtId="0" fontId="0" fillId="4" borderId="57" xfId="0" applyFill="1" applyBorder="1"/>
    <xf numFmtId="0" fontId="0" fillId="4" borderId="58" xfId="0" applyFill="1" applyBorder="1"/>
    <xf numFmtId="0" fontId="0" fillId="4" borderId="11" xfId="0" applyFill="1" applyBorder="1"/>
    <xf numFmtId="0" fontId="0" fillId="4" borderId="59" xfId="0" applyFill="1" applyBorder="1"/>
    <xf numFmtId="2" fontId="0" fillId="0" borderId="60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61" xfId="0" applyNumberFormat="1" applyBorder="1" applyAlignment="1">
      <alignment horizontal="center"/>
    </xf>
    <xf numFmtId="2" fontId="0" fillId="0" borderId="62" xfId="0" applyNumberFormat="1" applyBorder="1" applyAlignment="1">
      <alignment horizontal="center"/>
    </xf>
    <xf numFmtId="2" fontId="0" fillId="0" borderId="63" xfId="0" applyNumberFormat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2" fillId="6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wrapText="1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6" borderId="12" xfId="0" applyFont="1" applyFill="1" applyBorder="1" applyAlignment="1">
      <alignment horizontal="center" wrapText="1"/>
    </xf>
    <xf numFmtId="0" fontId="7" fillId="6" borderId="1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0" fillId="7" borderId="11" xfId="0" applyFont="1" applyFill="1" applyBorder="1" applyAlignment="1">
      <alignment horizontal="center"/>
    </xf>
    <xf numFmtId="0" fontId="10" fillId="7" borderId="12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9" fillId="6" borderId="1" xfId="0" applyFont="1" applyFill="1" applyBorder="1" applyAlignment="1">
      <alignment horizontal="center" wrapText="1"/>
    </xf>
    <xf numFmtId="0" fontId="9" fillId="6" borderId="12" xfId="0" applyFont="1" applyFill="1" applyBorder="1" applyAlignment="1">
      <alignment horizontal="center" wrapText="1"/>
    </xf>
    <xf numFmtId="0" fontId="18" fillId="0" borderId="0" xfId="0" applyFont="1" applyAlignment="1">
      <alignment horizontal="left" wrapText="1"/>
    </xf>
    <xf numFmtId="0" fontId="18" fillId="0" borderId="13" xfId="0" applyFont="1" applyBorder="1" applyAlignment="1">
      <alignment horizontal="left" wrapText="1"/>
    </xf>
    <xf numFmtId="0" fontId="0" fillId="0" borderId="13" xfId="0" applyBorder="1" applyAlignment="1">
      <alignment horizontal="center"/>
    </xf>
    <xf numFmtId="0" fontId="16" fillId="6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2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16" fontId="2" fillId="0" borderId="14" xfId="0" applyNumberFormat="1" applyFont="1" applyBorder="1" applyAlignment="1">
      <alignment horizontal="center" vertical="center"/>
    </xf>
    <xf numFmtId="16" fontId="2" fillId="0" borderId="19" xfId="0" applyNumberFormat="1" applyFont="1" applyBorder="1" applyAlignment="1">
      <alignment horizontal="center" vertical="center"/>
    </xf>
    <xf numFmtId="16" fontId="2" fillId="0" borderId="17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top"/>
    </xf>
    <xf numFmtId="0" fontId="2" fillId="0" borderId="17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top"/>
    </xf>
    <xf numFmtId="0" fontId="2" fillId="0" borderId="14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6" fillId="8" borderId="42" xfId="0" applyFont="1" applyFill="1" applyBorder="1"/>
    <xf numFmtId="0" fontId="0" fillId="8" borderId="4" xfId="0" applyFill="1" applyBorder="1"/>
    <xf numFmtId="0" fontId="0" fillId="8" borderId="47" xfId="0" applyFill="1" applyBorder="1"/>
    <xf numFmtId="0" fontId="0" fillId="8" borderId="49" xfId="0" applyFill="1" applyBorder="1"/>
    <xf numFmtId="0" fontId="27" fillId="0" borderId="0" xfId="0" applyFont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27" fillId="0" borderId="0" xfId="0" applyFont="1"/>
    <xf numFmtId="2" fontId="27" fillId="0" borderId="2" xfId="0" applyNumberFormat="1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49" fontId="0" fillId="8" borderId="0" xfId="0" applyNumberFormat="1" applyFill="1"/>
    <xf numFmtId="0" fontId="0" fillId="6" borderId="45" xfId="0" applyFill="1" applyBorder="1"/>
    <xf numFmtId="0" fontId="0" fillId="6" borderId="40" xfId="0" applyFill="1" applyBorder="1"/>
    <xf numFmtId="0" fontId="0" fillId="6" borderId="7" xfId="0" applyFill="1" applyBorder="1"/>
    <xf numFmtId="0" fontId="0" fillId="6" borderId="47" xfId="0" applyFill="1" applyBorder="1"/>
    <xf numFmtId="0" fontId="0" fillId="6" borderId="49" xfId="0" applyFill="1" applyBorder="1"/>
    <xf numFmtId="0" fontId="0" fillId="6" borderId="4" xfId="0" applyFill="1" applyBorder="1"/>
    <xf numFmtId="49" fontId="0" fillId="6" borderId="0" xfId="0" applyNumberFormat="1" applyFill="1"/>
  </cellXfs>
  <cellStyles count="2">
    <cellStyle name="Обычный" xfId="0" builtinId="0"/>
    <cellStyle name="Процентный" xfId="1" builtinId="5"/>
  </cellStyles>
  <dxfs count="19">
    <dxf>
      <fill>
        <patternFill>
          <bgColor rgb="FFB56CFF"/>
        </patternFill>
      </fill>
    </dxf>
    <dxf>
      <font>
        <color rgb="FFFF0000"/>
      </font>
    </dxf>
    <dxf>
      <fill>
        <patternFill>
          <bgColor rgb="FFB56CFF"/>
        </patternFill>
      </fill>
    </dxf>
    <dxf>
      <font>
        <color rgb="FFFF0000"/>
      </font>
    </dxf>
    <dxf>
      <fill>
        <patternFill>
          <bgColor rgb="FFB56CFF"/>
        </patternFill>
      </fill>
    </dxf>
    <dxf>
      <font>
        <color rgb="FFFF0000"/>
      </font>
    </dxf>
    <dxf>
      <fill>
        <patternFill>
          <bgColor rgb="FFB56CFF"/>
        </patternFill>
      </fill>
    </dxf>
    <dxf>
      <fill>
        <patternFill>
          <bgColor rgb="FFB56CFF"/>
        </patternFill>
      </fill>
    </dxf>
    <dxf>
      <font>
        <color rgb="FFFF0000"/>
      </font>
    </dxf>
    <dxf>
      <fill>
        <patternFill>
          <bgColor rgb="FFB56CFF"/>
        </patternFill>
      </fill>
    </dxf>
    <dxf>
      <fill>
        <patternFill>
          <bgColor rgb="FFB56CFF"/>
        </patternFill>
      </fill>
    </dxf>
    <dxf>
      <font>
        <color rgb="FFFF0000"/>
      </font>
    </dxf>
    <dxf>
      <fill>
        <patternFill>
          <bgColor rgb="FFB56CFF"/>
        </patternFill>
      </fill>
    </dxf>
    <dxf>
      <fill>
        <patternFill>
          <bgColor theme="7" tint="0.39994506668294322"/>
        </patternFill>
      </fill>
    </dxf>
    <dxf>
      <fill>
        <patternFill>
          <bgColor rgb="FFB56CFF"/>
        </patternFill>
      </fill>
    </dxf>
    <dxf>
      <font>
        <color rgb="FFFF0000"/>
      </font>
    </dxf>
    <dxf>
      <fill>
        <patternFill>
          <bgColor rgb="FFB56CFF"/>
        </patternFill>
      </fill>
    </dxf>
    <dxf>
      <fill>
        <patternFill>
          <bgColor theme="7" tint="0.39994506668294322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FFF8CB"/>
      <color rgb="FFF4FFC0"/>
      <color rgb="FFFFF5FF"/>
      <color rgb="FFB56CFF"/>
      <color rgb="FFFFD38F"/>
      <color rgb="FFFFD4C9"/>
      <color rgb="FFE1F1FF"/>
      <color rgb="FFEDFFF9"/>
      <color rgb="FFF3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81161</xdr:rowOff>
    </xdr:from>
    <xdr:to>
      <xdr:col>0</xdr:col>
      <xdr:colOff>6172200</xdr:colOff>
      <xdr:row>19</xdr:row>
      <xdr:rowOff>160169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1CD9A9A-8F20-28E1-5813-AE3DB7AE6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72061"/>
          <a:ext cx="6172200" cy="2517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82528-64FA-4844-88ED-45756314769F}">
  <dimension ref="A1:X79"/>
  <sheetViews>
    <sheetView topLeftCell="J44" zoomScaleNormal="81" workbookViewId="0">
      <selection activeCell="P59" sqref="P59:Q59"/>
    </sheetView>
  </sheetViews>
  <sheetFormatPr baseColWidth="10" defaultRowHeight="16" x14ac:dyDescent="0.2"/>
  <cols>
    <col min="1" max="1" width="6.6640625" customWidth="1"/>
    <col min="2" max="2" width="8.1640625" customWidth="1"/>
    <col min="3" max="3" width="29" style="26" customWidth="1"/>
    <col min="4" max="4" width="22.33203125" style="26" customWidth="1"/>
    <col min="5" max="5" width="18.6640625" customWidth="1"/>
    <col min="6" max="6" width="22.1640625" customWidth="1"/>
    <col min="7" max="7" width="18.83203125" customWidth="1"/>
    <col min="8" max="8" width="23.83203125" customWidth="1"/>
    <col min="9" max="13" width="22.5" customWidth="1"/>
    <col min="14" max="14" width="23" customWidth="1"/>
    <col min="15" max="15" width="20.5" customWidth="1"/>
    <col min="16" max="16" width="22.6640625" customWidth="1"/>
    <col min="17" max="17" width="20.83203125" customWidth="1"/>
  </cols>
  <sheetData>
    <row r="1" spans="1:24" ht="16" customHeight="1" x14ac:dyDescent="0.2">
      <c r="A1" s="142" t="s">
        <v>26</v>
      </c>
      <c r="B1" s="142" t="s">
        <v>27</v>
      </c>
      <c r="C1" s="143" t="s">
        <v>25</v>
      </c>
      <c r="D1" s="143"/>
      <c r="E1" s="143"/>
      <c r="F1" s="143"/>
      <c r="G1" s="143"/>
      <c r="H1" s="143"/>
      <c r="I1" s="33"/>
      <c r="L1" s="143" t="s">
        <v>25</v>
      </c>
      <c r="M1" s="143"/>
      <c r="N1" s="143"/>
      <c r="O1" s="143"/>
      <c r="P1" s="143"/>
      <c r="Q1" s="143"/>
    </row>
    <row r="2" spans="1:24" ht="33" customHeight="1" x14ac:dyDescent="0.2">
      <c r="A2" s="142"/>
      <c r="B2" s="142"/>
      <c r="C2" s="144" t="s">
        <v>37</v>
      </c>
      <c r="D2" s="144"/>
      <c r="E2" s="145" t="s">
        <v>32</v>
      </c>
      <c r="F2" s="145"/>
      <c r="G2" s="146" t="s">
        <v>33</v>
      </c>
      <c r="H2" s="146"/>
      <c r="I2" s="33"/>
      <c r="L2" s="147" t="s">
        <v>37</v>
      </c>
      <c r="M2" s="144"/>
      <c r="N2" s="145" t="s">
        <v>32</v>
      </c>
      <c r="O2" s="145"/>
      <c r="P2" s="146" t="s">
        <v>33</v>
      </c>
      <c r="Q2" s="146"/>
      <c r="S2" t="s">
        <v>37</v>
      </c>
      <c r="U2" t="s">
        <v>32</v>
      </c>
      <c r="W2" t="s">
        <v>33</v>
      </c>
    </row>
    <row r="3" spans="1:24" ht="73" customHeight="1" x14ac:dyDescent="0.2">
      <c r="A3" s="142"/>
      <c r="B3" s="142"/>
      <c r="C3" s="23" t="s">
        <v>29</v>
      </c>
      <c r="D3" s="23" t="s">
        <v>34</v>
      </c>
      <c r="E3" s="27" t="s">
        <v>29</v>
      </c>
      <c r="F3" s="27" t="s">
        <v>28</v>
      </c>
      <c r="G3" s="28" t="s">
        <v>29</v>
      </c>
      <c r="H3" s="28" t="s">
        <v>28</v>
      </c>
      <c r="I3" s="33"/>
      <c r="L3" s="31" t="s">
        <v>94</v>
      </c>
      <c r="M3" s="23" t="s">
        <v>95</v>
      </c>
      <c r="N3" s="27" t="s">
        <v>94</v>
      </c>
      <c r="O3" s="27" t="s">
        <v>96</v>
      </c>
      <c r="P3" s="28" t="s">
        <v>97</v>
      </c>
      <c r="Q3" s="28" t="s">
        <v>95</v>
      </c>
      <c r="S3" t="s">
        <v>122</v>
      </c>
      <c r="T3" t="s">
        <v>123</v>
      </c>
      <c r="U3" t="s">
        <v>122</v>
      </c>
      <c r="V3" t="s">
        <v>123</v>
      </c>
      <c r="W3" t="s">
        <v>124</v>
      </c>
      <c r="X3" t="s">
        <v>123</v>
      </c>
    </row>
    <row r="4" spans="1:24" ht="19" customHeight="1" x14ac:dyDescent="0.2">
      <c r="A4" s="2"/>
      <c r="B4" s="4"/>
      <c r="C4" s="148" t="s">
        <v>38</v>
      </c>
      <c r="D4" s="148"/>
      <c r="E4" s="149" t="s">
        <v>43</v>
      </c>
      <c r="F4" s="150"/>
      <c r="G4" s="140" t="s">
        <v>44</v>
      </c>
      <c r="H4" s="141"/>
      <c r="I4" s="33">
        <f>AVERAGE(C5:H8)</f>
        <v>2.8995833333333327</v>
      </c>
      <c r="L4" s="151" t="s">
        <v>38</v>
      </c>
      <c r="M4" s="148"/>
      <c r="N4" s="149" t="s">
        <v>43</v>
      </c>
      <c r="O4" s="150"/>
      <c r="P4" s="140" t="s">
        <v>44</v>
      </c>
      <c r="Q4" s="141"/>
      <c r="S4" t="s">
        <v>38</v>
      </c>
      <c r="U4" t="s">
        <v>43</v>
      </c>
      <c r="W4" t="s">
        <v>44</v>
      </c>
    </row>
    <row r="5" spans="1:24" x14ac:dyDescent="0.2">
      <c r="A5" s="143">
        <v>1</v>
      </c>
      <c r="B5">
        <v>1</v>
      </c>
      <c r="C5" s="24">
        <v>3.33</v>
      </c>
      <c r="D5" s="24">
        <v>4</v>
      </c>
      <c r="E5" s="29">
        <v>2.6</v>
      </c>
      <c r="F5" s="29">
        <v>2.6</v>
      </c>
      <c r="G5" s="30">
        <v>3.6</v>
      </c>
      <c r="H5" s="30">
        <v>3.6</v>
      </c>
      <c r="I5" s="33"/>
      <c r="L5" s="32">
        <f>C5</f>
        <v>3.33</v>
      </c>
      <c r="M5" s="24">
        <f>D5-2+L5</f>
        <v>5.33</v>
      </c>
      <c r="N5" s="29">
        <f>E5</f>
        <v>2.6</v>
      </c>
      <c r="O5" s="29">
        <f>F5-2+N5</f>
        <v>3.2</v>
      </c>
      <c r="P5" s="30">
        <f>G5</f>
        <v>3.6</v>
      </c>
      <c r="Q5" s="30">
        <f>H5-2+P5</f>
        <v>5.2</v>
      </c>
      <c r="S5">
        <v>1.33</v>
      </c>
      <c r="T5">
        <v>3.33</v>
      </c>
      <c r="U5">
        <v>0.60000000000000009</v>
      </c>
      <c r="V5">
        <v>1.2000000000000002</v>
      </c>
      <c r="W5">
        <v>1.6</v>
      </c>
      <c r="X5">
        <v>3.2</v>
      </c>
    </row>
    <row r="6" spans="1:24" x14ac:dyDescent="0.2">
      <c r="A6" s="143"/>
      <c r="B6">
        <v>2</v>
      </c>
      <c r="C6" s="24">
        <v>3</v>
      </c>
      <c r="D6" s="24">
        <v>4</v>
      </c>
      <c r="E6" s="29">
        <v>3</v>
      </c>
      <c r="F6" s="29">
        <v>3</v>
      </c>
      <c r="G6" s="30">
        <v>3.3</v>
      </c>
      <c r="H6" s="30">
        <v>3</v>
      </c>
      <c r="I6" s="33"/>
      <c r="L6" s="32">
        <f>C6</f>
        <v>3</v>
      </c>
      <c r="M6" s="24">
        <f t="shared" ref="M6:M8" si="0">D6-2+L6</f>
        <v>5</v>
      </c>
      <c r="N6" s="29">
        <f>E6</f>
        <v>3</v>
      </c>
      <c r="O6" s="29">
        <f>F6-2+N6</f>
        <v>4</v>
      </c>
      <c r="P6" s="30">
        <f>G6</f>
        <v>3.3</v>
      </c>
      <c r="Q6" s="30">
        <f t="shared" ref="Q6:Q8" si="1">H6-2+P6</f>
        <v>4.3</v>
      </c>
      <c r="S6">
        <v>1</v>
      </c>
      <c r="T6">
        <v>3</v>
      </c>
      <c r="U6">
        <v>1</v>
      </c>
      <c r="V6">
        <v>2</v>
      </c>
      <c r="W6">
        <v>1.2999999999999998</v>
      </c>
      <c r="X6">
        <v>2.2999999999999998</v>
      </c>
    </row>
    <row r="7" spans="1:24" x14ac:dyDescent="0.2">
      <c r="A7" s="143"/>
      <c r="B7">
        <v>3</v>
      </c>
      <c r="C7" s="24">
        <v>3</v>
      </c>
      <c r="D7" s="24">
        <v>3</v>
      </c>
      <c r="E7" s="29">
        <v>2.2999999999999998</v>
      </c>
      <c r="F7" s="29">
        <v>2.6</v>
      </c>
      <c r="G7" s="30">
        <v>2.6</v>
      </c>
      <c r="H7" s="30">
        <v>2.6</v>
      </c>
      <c r="I7" s="33"/>
      <c r="L7" s="32">
        <f>C7</f>
        <v>3</v>
      </c>
      <c r="M7" s="24">
        <f t="shared" si="0"/>
        <v>4</v>
      </c>
      <c r="N7" s="29">
        <f>E7</f>
        <v>2.2999999999999998</v>
      </c>
      <c r="O7" s="29">
        <f t="shared" ref="O7:O8" si="2">F7-2+N7</f>
        <v>2.9</v>
      </c>
      <c r="P7" s="30">
        <f>G7</f>
        <v>2.6</v>
      </c>
      <c r="Q7" s="30">
        <f t="shared" si="1"/>
        <v>3.2</v>
      </c>
      <c r="S7">
        <v>1</v>
      </c>
      <c r="T7">
        <v>2</v>
      </c>
      <c r="U7">
        <v>0.29999999999999982</v>
      </c>
      <c r="V7">
        <v>0.89999999999999991</v>
      </c>
      <c r="W7">
        <v>0.60000000000000009</v>
      </c>
      <c r="X7">
        <v>1.2000000000000002</v>
      </c>
    </row>
    <row r="8" spans="1:24" x14ac:dyDescent="0.2">
      <c r="A8" s="143"/>
      <c r="B8">
        <v>4</v>
      </c>
      <c r="C8" s="25">
        <v>2.33</v>
      </c>
      <c r="D8" s="24">
        <v>2.33</v>
      </c>
      <c r="E8" s="29">
        <v>2.6</v>
      </c>
      <c r="F8" s="29">
        <v>2.2999999999999998</v>
      </c>
      <c r="G8" s="30">
        <v>2.6</v>
      </c>
      <c r="H8" s="30">
        <v>2.2999999999999998</v>
      </c>
      <c r="I8" s="33"/>
      <c r="L8" s="32">
        <f>C8</f>
        <v>2.33</v>
      </c>
      <c r="M8" s="24">
        <f t="shared" si="0"/>
        <v>2.66</v>
      </c>
      <c r="N8" s="29">
        <f>E8</f>
        <v>2.6</v>
      </c>
      <c r="O8" s="29">
        <f t="shared" si="2"/>
        <v>2.9</v>
      </c>
      <c r="P8" s="30">
        <f>G8</f>
        <v>2.6</v>
      </c>
      <c r="Q8" s="30">
        <f t="shared" si="1"/>
        <v>2.9</v>
      </c>
      <c r="S8">
        <v>0.33000000000000007</v>
      </c>
      <c r="T8">
        <v>0.66000000000000014</v>
      </c>
      <c r="U8">
        <v>0.60000000000000009</v>
      </c>
      <c r="V8">
        <v>0.89999999999999991</v>
      </c>
      <c r="W8">
        <v>0.60000000000000009</v>
      </c>
      <c r="X8">
        <v>0.89999999999999991</v>
      </c>
    </row>
    <row r="9" spans="1:24" x14ac:dyDescent="0.2">
      <c r="A9" s="2"/>
      <c r="C9" s="152" t="s">
        <v>36</v>
      </c>
      <c r="D9" s="152"/>
      <c r="E9" s="149" t="s">
        <v>73</v>
      </c>
      <c r="F9" s="150"/>
      <c r="G9" s="140" t="s">
        <v>71</v>
      </c>
      <c r="H9" s="141"/>
      <c r="I9" s="33">
        <f t="shared" ref="I9:I49" si="3">AVERAGE(C10:H13)</f>
        <v>2.5741666666666658</v>
      </c>
      <c r="L9" s="153" t="s">
        <v>36</v>
      </c>
      <c r="M9" s="152"/>
      <c r="N9" s="149" t="s">
        <v>73</v>
      </c>
      <c r="O9" s="150"/>
      <c r="P9" s="140" t="s">
        <v>71</v>
      </c>
      <c r="Q9" s="141"/>
      <c r="S9" t="s">
        <v>36</v>
      </c>
      <c r="U9" t="s">
        <v>73</v>
      </c>
      <c r="W9" t="s">
        <v>71</v>
      </c>
    </row>
    <row r="10" spans="1:24" x14ac:dyDescent="0.2">
      <c r="A10" s="143">
        <v>2</v>
      </c>
      <c r="B10">
        <v>1</v>
      </c>
      <c r="C10" s="24">
        <v>3.33</v>
      </c>
      <c r="D10" s="24">
        <v>2.6</v>
      </c>
      <c r="E10" s="29">
        <v>2.6</v>
      </c>
      <c r="F10" s="29">
        <v>2</v>
      </c>
      <c r="G10" s="30">
        <v>3</v>
      </c>
      <c r="H10" s="30">
        <v>3</v>
      </c>
      <c r="I10" s="33"/>
      <c r="L10" s="32">
        <f>C10-2</f>
        <v>1.33</v>
      </c>
      <c r="M10" s="24">
        <f>D10-2+L10</f>
        <v>1.9300000000000002</v>
      </c>
      <c r="N10" s="29">
        <f>E10-2</f>
        <v>0.60000000000000009</v>
      </c>
      <c r="O10" s="29">
        <f>F10-2+N10</f>
        <v>0.60000000000000009</v>
      </c>
      <c r="P10" s="30">
        <f>G10-2</f>
        <v>1</v>
      </c>
      <c r="Q10" s="30">
        <f>H10-2+P10</f>
        <v>2</v>
      </c>
      <c r="S10">
        <v>1.33</v>
      </c>
      <c r="T10">
        <v>1.9300000000000002</v>
      </c>
      <c r="U10">
        <v>0.60000000000000009</v>
      </c>
      <c r="V10">
        <v>0.60000000000000009</v>
      </c>
      <c r="W10">
        <v>1</v>
      </c>
      <c r="X10">
        <v>2</v>
      </c>
    </row>
    <row r="11" spans="1:24" x14ac:dyDescent="0.2">
      <c r="A11" s="143"/>
      <c r="B11">
        <v>2</v>
      </c>
      <c r="C11" s="24">
        <v>3.33</v>
      </c>
      <c r="D11" s="24">
        <v>2.33</v>
      </c>
      <c r="E11" s="29">
        <v>2.6</v>
      </c>
      <c r="F11" s="29">
        <v>2.6</v>
      </c>
      <c r="G11" s="30">
        <v>3</v>
      </c>
      <c r="H11" s="30">
        <v>2.2999999999999998</v>
      </c>
      <c r="I11" s="33"/>
      <c r="L11" s="32">
        <f>C11-2</f>
        <v>1.33</v>
      </c>
      <c r="M11" s="24">
        <f t="shared" ref="M11:M13" si="4">D11-2+L11</f>
        <v>1.6600000000000001</v>
      </c>
      <c r="N11" s="29">
        <f>E11-2</f>
        <v>0.60000000000000009</v>
      </c>
      <c r="O11" s="29">
        <f t="shared" ref="O11:O13" si="5">F11-2+N11</f>
        <v>1.2000000000000002</v>
      </c>
      <c r="P11" s="30">
        <f>G11-2</f>
        <v>1</v>
      </c>
      <c r="Q11" s="30">
        <f t="shared" ref="Q11:Q13" si="6">H11-2+P11</f>
        <v>1.2999999999999998</v>
      </c>
      <c r="S11">
        <v>1.33</v>
      </c>
      <c r="T11">
        <v>1.6600000000000001</v>
      </c>
      <c r="U11">
        <v>0.60000000000000009</v>
      </c>
      <c r="V11">
        <v>1.2000000000000002</v>
      </c>
      <c r="W11">
        <v>1</v>
      </c>
      <c r="X11">
        <v>1.2999999999999998</v>
      </c>
    </row>
    <row r="12" spans="1:24" x14ac:dyDescent="0.2">
      <c r="A12" s="143"/>
      <c r="B12">
        <v>3</v>
      </c>
      <c r="C12" s="24">
        <v>3.33</v>
      </c>
      <c r="D12" s="24">
        <v>2.33</v>
      </c>
      <c r="E12" s="29">
        <v>2.2999999999999998</v>
      </c>
      <c r="F12" s="29">
        <v>2.6</v>
      </c>
      <c r="G12" s="30">
        <v>2.2999999999999998</v>
      </c>
      <c r="H12" s="30">
        <v>2.2999999999999998</v>
      </c>
      <c r="I12" s="33"/>
      <c r="L12" s="32">
        <f>C12-2</f>
        <v>1.33</v>
      </c>
      <c r="M12" s="24">
        <f t="shared" si="4"/>
        <v>1.6600000000000001</v>
      </c>
      <c r="N12" s="29">
        <f>E12-2</f>
        <v>0.29999999999999982</v>
      </c>
      <c r="O12" s="29">
        <f t="shared" si="5"/>
        <v>0.89999999999999991</v>
      </c>
      <c r="P12" s="30">
        <f>G12-2</f>
        <v>0.29999999999999982</v>
      </c>
      <c r="Q12" s="30">
        <f t="shared" si="6"/>
        <v>0.59999999999999964</v>
      </c>
      <c r="S12">
        <v>1.33</v>
      </c>
      <c r="T12">
        <v>1.6600000000000001</v>
      </c>
      <c r="U12">
        <v>0.29999999999999982</v>
      </c>
      <c r="V12">
        <v>0.89999999999999991</v>
      </c>
      <c r="W12">
        <v>0.29999999999999982</v>
      </c>
      <c r="X12">
        <v>0.59999999999999964</v>
      </c>
    </row>
    <row r="13" spans="1:24" ht="16" customHeight="1" x14ac:dyDescent="0.2">
      <c r="A13" s="143"/>
      <c r="B13">
        <v>4</v>
      </c>
      <c r="C13" s="24">
        <v>3.33</v>
      </c>
      <c r="D13" s="24">
        <v>2</v>
      </c>
      <c r="E13" s="29">
        <v>1.3</v>
      </c>
      <c r="F13" s="29">
        <v>2.2999999999999998</v>
      </c>
      <c r="G13" s="30">
        <v>3</v>
      </c>
      <c r="H13" s="30">
        <v>2</v>
      </c>
      <c r="I13" s="33"/>
      <c r="L13" s="32">
        <f>C13-2</f>
        <v>1.33</v>
      </c>
      <c r="M13" s="24">
        <f t="shared" si="4"/>
        <v>1.33</v>
      </c>
      <c r="N13" s="29">
        <f>E13-2</f>
        <v>-0.7</v>
      </c>
      <c r="O13" s="29">
        <f t="shared" si="5"/>
        <v>-0.40000000000000013</v>
      </c>
      <c r="P13" s="30">
        <f>G13-2</f>
        <v>1</v>
      </c>
      <c r="Q13" s="30">
        <f t="shared" si="6"/>
        <v>1</v>
      </c>
      <c r="S13">
        <v>1.33</v>
      </c>
      <c r="T13">
        <v>1.33</v>
      </c>
      <c r="U13">
        <v>-0.7</v>
      </c>
      <c r="V13">
        <v>-0.40000000000000013</v>
      </c>
      <c r="W13">
        <v>1</v>
      </c>
      <c r="X13">
        <v>1</v>
      </c>
    </row>
    <row r="14" spans="1:24" ht="16" customHeight="1" x14ac:dyDescent="0.2">
      <c r="A14" s="2"/>
      <c r="C14" s="148" t="s">
        <v>30</v>
      </c>
      <c r="D14" s="148"/>
      <c r="E14" s="149" t="s">
        <v>75</v>
      </c>
      <c r="F14" s="150"/>
      <c r="G14" s="140" t="s">
        <v>74</v>
      </c>
      <c r="H14" s="141"/>
      <c r="I14" s="33">
        <f t="shared" si="3"/>
        <v>2.6812499999999999</v>
      </c>
      <c r="L14" s="151" t="s">
        <v>30</v>
      </c>
      <c r="M14" s="148"/>
      <c r="N14" s="149" t="s">
        <v>75</v>
      </c>
      <c r="O14" s="150"/>
      <c r="P14" s="140" t="s">
        <v>74</v>
      </c>
      <c r="Q14" s="141"/>
      <c r="S14" t="s">
        <v>30</v>
      </c>
      <c r="U14" t="s">
        <v>75</v>
      </c>
      <c r="W14" t="s">
        <v>74</v>
      </c>
    </row>
    <row r="15" spans="1:24" x14ac:dyDescent="0.2">
      <c r="A15" s="143">
        <v>3</v>
      </c>
      <c r="B15">
        <v>1</v>
      </c>
      <c r="C15" s="24">
        <v>3.66</v>
      </c>
      <c r="D15" s="24">
        <v>3</v>
      </c>
      <c r="E15" s="29">
        <v>2</v>
      </c>
      <c r="F15" s="29">
        <v>3.6</v>
      </c>
      <c r="G15" s="30">
        <v>2.2999999999999998</v>
      </c>
      <c r="H15" s="30">
        <v>2.6</v>
      </c>
      <c r="I15" s="33"/>
      <c r="L15" s="32">
        <f>C15-2</f>
        <v>1.6600000000000001</v>
      </c>
      <c r="M15" s="24">
        <f>D15-2+L15</f>
        <v>2.66</v>
      </c>
      <c r="N15" s="29">
        <f>E15-2</f>
        <v>0</v>
      </c>
      <c r="O15" s="29">
        <f>F15-2+N15</f>
        <v>1.6</v>
      </c>
      <c r="P15" s="30">
        <f>G15-2</f>
        <v>0.29999999999999982</v>
      </c>
      <c r="Q15" s="30">
        <f>H15-2+P15</f>
        <v>0.89999999999999991</v>
      </c>
      <c r="S15">
        <v>1.6600000000000001</v>
      </c>
      <c r="T15">
        <v>2.66</v>
      </c>
      <c r="U15">
        <v>0</v>
      </c>
      <c r="V15">
        <v>1.6</v>
      </c>
      <c r="W15">
        <v>0.29999999999999982</v>
      </c>
      <c r="X15">
        <v>0.89999999999999991</v>
      </c>
    </row>
    <row r="16" spans="1:24" x14ac:dyDescent="0.2">
      <c r="A16" s="143"/>
      <c r="B16">
        <v>2</v>
      </c>
      <c r="C16" s="24">
        <v>3</v>
      </c>
      <c r="D16" s="24">
        <v>3.33</v>
      </c>
      <c r="E16" s="29">
        <v>2.6</v>
      </c>
      <c r="F16" s="29">
        <v>3</v>
      </c>
      <c r="G16" s="30">
        <v>2.6</v>
      </c>
      <c r="H16" s="30">
        <v>2.2999999999999998</v>
      </c>
      <c r="I16" s="33"/>
      <c r="L16" s="32">
        <f>C16-2</f>
        <v>1</v>
      </c>
      <c r="M16" s="24">
        <f t="shared" ref="M16:M18" si="7">D16-2+L16</f>
        <v>2.33</v>
      </c>
      <c r="N16" s="29">
        <f>E16-2</f>
        <v>0.60000000000000009</v>
      </c>
      <c r="O16" s="29">
        <f t="shared" ref="O16:O18" si="8">F16-2+N16</f>
        <v>1.6</v>
      </c>
      <c r="P16" s="30">
        <f>G16-2</f>
        <v>0.60000000000000009</v>
      </c>
      <c r="Q16" s="30">
        <f t="shared" ref="Q16:Q18" si="9">H16-2+P16</f>
        <v>0.89999999999999991</v>
      </c>
      <c r="S16">
        <v>1</v>
      </c>
      <c r="T16">
        <v>2.33</v>
      </c>
      <c r="U16">
        <v>0.60000000000000009</v>
      </c>
      <c r="V16">
        <v>1.6</v>
      </c>
      <c r="W16">
        <v>0.60000000000000009</v>
      </c>
      <c r="X16">
        <v>0.89999999999999991</v>
      </c>
    </row>
    <row r="17" spans="1:24" x14ac:dyDescent="0.2">
      <c r="A17" s="143"/>
      <c r="B17">
        <v>3</v>
      </c>
      <c r="C17" s="24">
        <v>3</v>
      </c>
      <c r="D17" s="24">
        <v>3</v>
      </c>
      <c r="E17" s="29">
        <v>3</v>
      </c>
      <c r="F17" s="29">
        <v>2.6</v>
      </c>
      <c r="G17" s="30">
        <v>2.2999999999999998</v>
      </c>
      <c r="H17" s="30">
        <v>2.2999999999999998</v>
      </c>
      <c r="I17" s="33"/>
      <c r="L17" s="32">
        <f>C17-2</f>
        <v>1</v>
      </c>
      <c r="M17" s="24">
        <f t="shared" si="7"/>
        <v>2</v>
      </c>
      <c r="N17" s="29">
        <f>E17-2</f>
        <v>1</v>
      </c>
      <c r="O17" s="29">
        <f t="shared" si="8"/>
        <v>1.6</v>
      </c>
      <c r="P17" s="30">
        <f>G17-2</f>
        <v>0.29999999999999982</v>
      </c>
      <c r="Q17" s="30">
        <f t="shared" si="9"/>
        <v>0.59999999999999964</v>
      </c>
      <c r="S17">
        <v>1</v>
      </c>
      <c r="T17">
        <v>2</v>
      </c>
      <c r="U17">
        <v>1</v>
      </c>
      <c r="V17">
        <v>1.6</v>
      </c>
      <c r="W17">
        <v>0.29999999999999982</v>
      </c>
      <c r="X17">
        <v>0.59999999999999964</v>
      </c>
    </row>
    <row r="18" spans="1:24" ht="16" customHeight="1" x14ac:dyDescent="0.2">
      <c r="A18" s="143"/>
      <c r="B18">
        <v>4</v>
      </c>
      <c r="C18" s="25">
        <v>2.33</v>
      </c>
      <c r="D18" s="24">
        <v>2.33</v>
      </c>
      <c r="E18" s="29">
        <v>3.6</v>
      </c>
      <c r="F18" s="29">
        <v>2.2999999999999998</v>
      </c>
      <c r="G18" s="30">
        <v>1.6</v>
      </c>
      <c r="H18" s="30">
        <v>2</v>
      </c>
      <c r="I18" s="33"/>
      <c r="L18" s="32">
        <f>C18-2</f>
        <v>0.33000000000000007</v>
      </c>
      <c r="M18" s="24">
        <f t="shared" si="7"/>
        <v>0.66000000000000014</v>
      </c>
      <c r="N18" s="29">
        <f>E18-2</f>
        <v>1.6</v>
      </c>
      <c r="O18" s="29">
        <f t="shared" si="8"/>
        <v>1.9</v>
      </c>
      <c r="P18" s="30">
        <f>G18-2</f>
        <v>-0.39999999999999991</v>
      </c>
      <c r="Q18" s="30">
        <f t="shared" si="9"/>
        <v>-0.39999999999999991</v>
      </c>
      <c r="S18">
        <v>0.33000000000000007</v>
      </c>
      <c r="T18">
        <v>0.66000000000000014</v>
      </c>
      <c r="U18">
        <v>1.6</v>
      </c>
      <c r="V18">
        <v>1.9</v>
      </c>
      <c r="W18">
        <v>-0.39999999999999991</v>
      </c>
      <c r="X18">
        <v>-0.39999999999999991</v>
      </c>
    </row>
    <row r="19" spans="1:24" ht="16" customHeight="1" x14ac:dyDescent="0.2">
      <c r="A19" s="2"/>
      <c r="C19" s="148" t="s">
        <v>35</v>
      </c>
      <c r="D19" s="148"/>
      <c r="E19" s="154" t="s">
        <v>85</v>
      </c>
      <c r="F19" s="155"/>
      <c r="G19" s="156" t="s">
        <v>86</v>
      </c>
      <c r="H19" s="157"/>
      <c r="I19" s="33">
        <f t="shared" si="3"/>
        <v>2.7395833333333335</v>
      </c>
      <c r="L19" s="151" t="s">
        <v>35</v>
      </c>
      <c r="M19" s="148"/>
      <c r="N19" s="154" t="s">
        <v>85</v>
      </c>
      <c r="O19" s="155"/>
      <c r="P19" s="156" t="s">
        <v>86</v>
      </c>
      <c r="Q19" s="157"/>
      <c r="S19" t="s">
        <v>35</v>
      </c>
      <c r="U19" t="s">
        <v>85</v>
      </c>
      <c r="W19" t="s">
        <v>86</v>
      </c>
    </row>
    <row r="20" spans="1:24" x14ac:dyDescent="0.2">
      <c r="A20" s="143">
        <v>4</v>
      </c>
      <c r="B20">
        <v>1</v>
      </c>
      <c r="C20" s="24">
        <v>3.33</v>
      </c>
      <c r="D20" s="24">
        <v>4</v>
      </c>
      <c r="E20" s="29">
        <v>3.6</v>
      </c>
      <c r="F20" s="29">
        <v>4</v>
      </c>
      <c r="G20" s="30">
        <v>2.2999999999999998</v>
      </c>
      <c r="H20" s="30">
        <v>2.2999999999999998</v>
      </c>
      <c r="I20" s="33"/>
      <c r="L20" s="32">
        <f>C20-2</f>
        <v>1.33</v>
      </c>
      <c r="M20" s="24">
        <f>D20-2+L20</f>
        <v>3.33</v>
      </c>
      <c r="N20" s="29">
        <f>E20-2</f>
        <v>1.6</v>
      </c>
      <c r="O20" s="29">
        <f>F20-2+N20</f>
        <v>3.6</v>
      </c>
      <c r="P20" s="30">
        <f>G20-2</f>
        <v>0.29999999999999982</v>
      </c>
      <c r="Q20" s="30">
        <f>H20-2+P20</f>
        <v>0.59999999999999964</v>
      </c>
      <c r="S20">
        <v>1.33</v>
      </c>
      <c r="T20">
        <v>3.33</v>
      </c>
      <c r="U20">
        <v>1.6</v>
      </c>
      <c r="V20">
        <v>3.6</v>
      </c>
      <c r="W20">
        <v>0.29999999999999982</v>
      </c>
      <c r="X20">
        <v>0.59999999999999964</v>
      </c>
    </row>
    <row r="21" spans="1:24" x14ac:dyDescent="0.2">
      <c r="A21" s="143"/>
      <c r="B21">
        <v>2</v>
      </c>
      <c r="C21" s="24">
        <v>3.33</v>
      </c>
      <c r="D21" s="24">
        <v>2.33</v>
      </c>
      <c r="E21" s="29">
        <v>3.3</v>
      </c>
      <c r="F21" s="29">
        <v>2.2999999999999998</v>
      </c>
      <c r="G21" s="30">
        <v>2.2999999999999998</v>
      </c>
      <c r="H21" s="30">
        <v>1.6</v>
      </c>
      <c r="I21" s="33"/>
      <c r="L21" s="32">
        <f>C21-2</f>
        <v>1.33</v>
      </c>
      <c r="M21" s="24">
        <f t="shared" ref="M21:M23" si="10">D21-2+L21</f>
        <v>1.6600000000000001</v>
      </c>
      <c r="N21" s="29">
        <f>E21-2</f>
        <v>1.2999999999999998</v>
      </c>
      <c r="O21" s="29">
        <f t="shared" ref="O21:O23" si="11">F21-2+N21</f>
        <v>1.5999999999999996</v>
      </c>
      <c r="P21" s="30">
        <f>G21-2</f>
        <v>0.29999999999999982</v>
      </c>
      <c r="Q21" s="30">
        <f t="shared" ref="Q21:Q23" si="12">H21-2+P21</f>
        <v>-0.10000000000000009</v>
      </c>
      <c r="S21">
        <v>1.33</v>
      </c>
      <c r="T21">
        <v>1.6600000000000001</v>
      </c>
      <c r="U21">
        <v>1.2999999999999998</v>
      </c>
      <c r="V21">
        <v>1.5999999999999996</v>
      </c>
      <c r="W21">
        <v>0.29999999999999982</v>
      </c>
      <c r="X21">
        <v>-0.10000000000000009</v>
      </c>
    </row>
    <row r="22" spans="1:24" x14ac:dyDescent="0.2">
      <c r="A22" s="143"/>
      <c r="B22">
        <v>3</v>
      </c>
      <c r="C22" s="24">
        <v>4</v>
      </c>
      <c r="D22" s="24">
        <v>2.33</v>
      </c>
      <c r="E22" s="29">
        <v>2.6</v>
      </c>
      <c r="F22" s="29">
        <v>2.2999999999999998</v>
      </c>
      <c r="G22" s="30">
        <v>1.6</v>
      </c>
      <c r="H22" s="30">
        <v>2.2999999999999998</v>
      </c>
      <c r="I22" s="33"/>
      <c r="L22" s="32">
        <f>C22-2</f>
        <v>2</v>
      </c>
      <c r="M22" s="24">
        <f t="shared" si="10"/>
        <v>2.33</v>
      </c>
      <c r="N22" s="29">
        <f>E22-2</f>
        <v>0.60000000000000009</v>
      </c>
      <c r="O22" s="29">
        <f t="shared" si="11"/>
        <v>0.89999999999999991</v>
      </c>
      <c r="P22" s="30">
        <f>G22-2</f>
        <v>-0.39999999999999991</v>
      </c>
      <c r="Q22" s="30">
        <f t="shared" si="12"/>
        <v>-0.10000000000000009</v>
      </c>
      <c r="S22">
        <v>2</v>
      </c>
      <c r="T22">
        <v>2.33</v>
      </c>
      <c r="U22">
        <v>0.60000000000000009</v>
      </c>
      <c r="V22">
        <v>0.89999999999999991</v>
      </c>
      <c r="W22">
        <v>-0.39999999999999991</v>
      </c>
      <c r="X22">
        <v>-0.10000000000000009</v>
      </c>
    </row>
    <row r="23" spans="1:24" x14ac:dyDescent="0.2">
      <c r="A23" s="143"/>
      <c r="B23">
        <v>4</v>
      </c>
      <c r="C23" s="25">
        <v>3.33</v>
      </c>
      <c r="D23" s="24">
        <v>2</v>
      </c>
      <c r="E23" s="29">
        <v>4</v>
      </c>
      <c r="F23" s="29">
        <v>2</v>
      </c>
      <c r="G23" s="30">
        <v>2.6</v>
      </c>
      <c r="H23" s="30">
        <v>2</v>
      </c>
      <c r="I23" s="33"/>
      <c r="L23" s="32">
        <f>C23-2</f>
        <v>1.33</v>
      </c>
      <c r="M23" s="24">
        <f t="shared" si="10"/>
        <v>1.33</v>
      </c>
      <c r="N23" s="29">
        <f>E23-2</f>
        <v>2</v>
      </c>
      <c r="O23" s="29">
        <f t="shared" si="11"/>
        <v>2</v>
      </c>
      <c r="P23" s="30">
        <f>G23-2</f>
        <v>0.60000000000000009</v>
      </c>
      <c r="Q23" s="30">
        <f t="shared" si="12"/>
        <v>0.60000000000000009</v>
      </c>
      <c r="S23">
        <v>1.33</v>
      </c>
      <c r="T23">
        <v>1.33</v>
      </c>
      <c r="U23">
        <v>2</v>
      </c>
      <c r="V23">
        <v>2</v>
      </c>
      <c r="W23">
        <v>0.60000000000000009</v>
      </c>
      <c r="X23">
        <v>0.60000000000000009</v>
      </c>
    </row>
    <row r="24" spans="1:24" x14ac:dyDescent="0.2">
      <c r="A24" s="2"/>
      <c r="C24" s="152" t="s">
        <v>39</v>
      </c>
      <c r="D24" s="152"/>
      <c r="E24" s="154" t="s">
        <v>80</v>
      </c>
      <c r="F24" s="155"/>
      <c r="G24" s="156" t="s">
        <v>81</v>
      </c>
      <c r="H24" s="157"/>
      <c r="I24" s="33">
        <f t="shared" si="3"/>
        <v>2.8404166666666661</v>
      </c>
      <c r="L24" s="153" t="s">
        <v>39</v>
      </c>
      <c r="M24" s="152"/>
      <c r="N24" s="154" t="s">
        <v>80</v>
      </c>
      <c r="O24" s="155"/>
      <c r="P24" s="156" t="s">
        <v>81</v>
      </c>
      <c r="Q24" s="157"/>
      <c r="S24" t="s">
        <v>39</v>
      </c>
      <c r="U24" t="s">
        <v>80</v>
      </c>
      <c r="W24" t="s">
        <v>81</v>
      </c>
    </row>
    <row r="25" spans="1:24" x14ac:dyDescent="0.2">
      <c r="A25" s="143">
        <v>5</v>
      </c>
      <c r="B25">
        <v>1</v>
      </c>
      <c r="C25" s="24">
        <v>3.66</v>
      </c>
      <c r="D25" s="24">
        <v>3.33</v>
      </c>
      <c r="E25" s="29">
        <v>3</v>
      </c>
      <c r="F25" s="29">
        <v>3.6</v>
      </c>
      <c r="G25" s="30">
        <v>3</v>
      </c>
      <c r="H25" s="30">
        <v>1.6</v>
      </c>
      <c r="I25" s="33"/>
      <c r="L25" s="32">
        <f>C25-2</f>
        <v>1.6600000000000001</v>
      </c>
      <c r="M25" s="24">
        <f>D25-2+L25</f>
        <v>2.99</v>
      </c>
      <c r="N25" s="29">
        <f>E25-2</f>
        <v>1</v>
      </c>
      <c r="O25" s="29">
        <f>F25-2+N25</f>
        <v>2.6</v>
      </c>
      <c r="P25" s="30">
        <f>G25-2</f>
        <v>1</v>
      </c>
      <c r="Q25" s="30">
        <f>H25-2+P25</f>
        <v>0.60000000000000009</v>
      </c>
      <c r="S25">
        <v>1.6600000000000001</v>
      </c>
      <c r="T25">
        <v>2.99</v>
      </c>
      <c r="U25">
        <v>1</v>
      </c>
      <c r="V25">
        <v>2.6</v>
      </c>
      <c r="W25">
        <v>1</v>
      </c>
      <c r="X25">
        <v>0.60000000000000009</v>
      </c>
    </row>
    <row r="26" spans="1:24" x14ac:dyDescent="0.2">
      <c r="A26" s="143"/>
      <c r="B26">
        <v>2</v>
      </c>
      <c r="C26" s="24">
        <v>3.66</v>
      </c>
      <c r="D26" s="24">
        <v>3.66</v>
      </c>
      <c r="E26" s="29">
        <v>3</v>
      </c>
      <c r="F26" s="29">
        <v>2.6</v>
      </c>
      <c r="G26" s="30">
        <v>3</v>
      </c>
      <c r="H26" s="30">
        <v>2.2999999999999998</v>
      </c>
      <c r="I26" s="33"/>
      <c r="L26" s="32">
        <f>C26-2</f>
        <v>1.6600000000000001</v>
      </c>
      <c r="M26" s="24">
        <f t="shared" ref="M26:M28" si="13">D26-2+L26</f>
        <v>3.3200000000000003</v>
      </c>
      <c r="N26" s="29">
        <f>E26-2</f>
        <v>1</v>
      </c>
      <c r="O26" s="29">
        <f t="shared" ref="O26:O28" si="14">F26-2+N26</f>
        <v>1.6</v>
      </c>
      <c r="P26" s="30">
        <f>G26-2</f>
        <v>1</v>
      </c>
      <c r="Q26" s="30">
        <f t="shared" ref="Q26:Q28" si="15">H26-2+P26</f>
        <v>1.2999999999999998</v>
      </c>
      <c r="S26">
        <v>1.6600000000000001</v>
      </c>
      <c r="T26">
        <v>3.3200000000000003</v>
      </c>
      <c r="U26">
        <v>1</v>
      </c>
      <c r="V26">
        <v>1.6</v>
      </c>
      <c r="W26">
        <v>1</v>
      </c>
      <c r="X26">
        <v>1.2999999999999998</v>
      </c>
    </row>
    <row r="27" spans="1:24" x14ac:dyDescent="0.2">
      <c r="A27" s="143"/>
      <c r="B27">
        <v>3</v>
      </c>
      <c r="C27" s="24">
        <v>3</v>
      </c>
      <c r="D27" s="24">
        <v>3</v>
      </c>
      <c r="E27" s="29">
        <v>3.6</v>
      </c>
      <c r="F27" s="29">
        <v>2.6</v>
      </c>
      <c r="G27" s="30">
        <v>2.2999999999999998</v>
      </c>
      <c r="H27" s="30">
        <v>2.2999999999999998</v>
      </c>
      <c r="I27" s="33"/>
      <c r="L27" s="32">
        <f>C27-2</f>
        <v>1</v>
      </c>
      <c r="M27" s="24">
        <f t="shared" si="13"/>
        <v>2</v>
      </c>
      <c r="N27" s="29">
        <f>E27-2</f>
        <v>1.6</v>
      </c>
      <c r="O27" s="29">
        <f t="shared" si="14"/>
        <v>2.2000000000000002</v>
      </c>
      <c r="P27" s="30">
        <f>G27-2</f>
        <v>0.29999999999999982</v>
      </c>
      <c r="Q27" s="30">
        <f t="shared" si="15"/>
        <v>0.59999999999999964</v>
      </c>
      <c r="S27">
        <v>1</v>
      </c>
      <c r="T27">
        <v>2</v>
      </c>
      <c r="U27">
        <v>1.6</v>
      </c>
      <c r="V27">
        <v>2.2000000000000002</v>
      </c>
      <c r="W27">
        <v>0.29999999999999982</v>
      </c>
      <c r="X27">
        <v>0.59999999999999964</v>
      </c>
    </row>
    <row r="28" spans="1:24" x14ac:dyDescent="0.2">
      <c r="A28" s="143"/>
      <c r="B28">
        <v>4</v>
      </c>
      <c r="C28" s="24">
        <v>2.33</v>
      </c>
      <c r="D28" s="24">
        <v>2.33</v>
      </c>
      <c r="E28" s="29">
        <v>4</v>
      </c>
      <c r="F28" s="29">
        <v>2.2999999999999998</v>
      </c>
      <c r="G28" s="30">
        <v>2</v>
      </c>
      <c r="H28" s="30">
        <v>2</v>
      </c>
      <c r="I28" s="33"/>
      <c r="L28" s="32">
        <f>C28-2</f>
        <v>0.33000000000000007</v>
      </c>
      <c r="M28" s="24">
        <f t="shared" si="13"/>
        <v>0.66000000000000014</v>
      </c>
      <c r="N28" s="29">
        <f>E28-2</f>
        <v>2</v>
      </c>
      <c r="O28" s="29">
        <f t="shared" si="14"/>
        <v>2.2999999999999998</v>
      </c>
      <c r="P28" s="30">
        <f>G28-2</f>
        <v>0</v>
      </c>
      <c r="Q28" s="30">
        <f t="shared" si="15"/>
        <v>0</v>
      </c>
      <c r="S28">
        <v>0.33000000000000007</v>
      </c>
      <c r="T28">
        <v>0.66000000000000014</v>
      </c>
      <c r="U28">
        <v>2</v>
      </c>
      <c r="V28">
        <v>2.2999999999999998</v>
      </c>
      <c r="W28">
        <v>0</v>
      </c>
      <c r="X28">
        <v>0</v>
      </c>
    </row>
    <row r="29" spans="1:24" x14ac:dyDescent="0.2">
      <c r="A29" s="2"/>
      <c r="C29" s="152" t="s">
        <v>40</v>
      </c>
      <c r="D29" s="152"/>
      <c r="E29" s="158" t="s">
        <v>42</v>
      </c>
      <c r="F29" s="158"/>
      <c r="G29" s="159" t="s">
        <v>41</v>
      </c>
      <c r="H29" s="159"/>
      <c r="I29" s="33">
        <f t="shared" si="3"/>
        <v>2.7816666666666658</v>
      </c>
      <c r="L29" s="153" t="s">
        <v>40</v>
      </c>
      <c r="M29" s="152"/>
      <c r="N29" s="158" t="s">
        <v>42</v>
      </c>
      <c r="O29" s="158"/>
      <c r="P29" s="159" t="s">
        <v>41</v>
      </c>
      <c r="Q29" s="159"/>
      <c r="S29" t="s">
        <v>40</v>
      </c>
      <c r="U29" t="s">
        <v>42</v>
      </c>
      <c r="W29" t="s">
        <v>41</v>
      </c>
    </row>
    <row r="30" spans="1:24" x14ac:dyDescent="0.2">
      <c r="A30" s="143">
        <v>6</v>
      </c>
      <c r="B30">
        <v>1</v>
      </c>
      <c r="C30" s="24">
        <v>3.3</v>
      </c>
      <c r="D30" s="24">
        <v>4</v>
      </c>
      <c r="E30" s="29">
        <v>3.6</v>
      </c>
      <c r="F30" s="29">
        <v>4</v>
      </c>
      <c r="G30" s="30">
        <v>2.2999999999999998</v>
      </c>
      <c r="H30" s="30">
        <v>2</v>
      </c>
      <c r="I30" s="33"/>
      <c r="L30" s="32">
        <f>C30-2</f>
        <v>1.2999999999999998</v>
      </c>
      <c r="M30" s="24">
        <f>D30-2+L30</f>
        <v>3.3</v>
      </c>
      <c r="N30" s="29">
        <f>E30-2</f>
        <v>1.6</v>
      </c>
      <c r="O30" s="29">
        <f>F30-2+N30</f>
        <v>3.6</v>
      </c>
      <c r="P30" s="30">
        <f>G30-2</f>
        <v>0.29999999999999982</v>
      </c>
      <c r="Q30" s="30">
        <f>H30-2+P30</f>
        <v>0.29999999999999982</v>
      </c>
      <c r="S30">
        <v>1.2999999999999998</v>
      </c>
      <c r="T30">
        <v>3.3</v>
      </c>
      <c r="U30">
        <v>1.6</v>
      </c>
      <c r="V30">
        <v>3.6</v>
      </c>
      <c r="W30">
        <v>0.29999999999999982</v>
      </c>
      <c r="X30">
        <v>0.29999999999999982</v>
      </c>
    </row>
    <row r="31" spans="1:24" x14ac:dyDescent="0.2">
      <c r="A31" s="143"/>
      <c r="B31">
        <v>2</v>
      </c>
      <c r="C31" s="24">
        <v>3.3</v>
      </c>
      <c r="D31" s="24">
        <v>4</v>
      </c>
      <c r="E31" s="29">
        <v>3</v>
      </c>
      <c r="F31" s="29">
        <v>2.2999999999999998</v>
      </c>
      <c r="G31" s="30">
        <v>2.6</v>
      </c>
      <c r="H31" s="30">
        <v>2.2999999999999998</v>
      </c>
      <c r="I31" s="33"/>
      <c r="L31" s="32">
        <f>C31-2</f>
        <v>1.2999999999999998</v>
      </c>
      <c r="M31" s="24">
        <f t="shared" ref="M31:M33" si="16">D31-2+L31</f>
        <v>3.3</v>
      </c>
      <c r="N31" s="29">
        <f>E31-2</f>
        <v>1</v>
      </c>
      <c r="O31" s="29">
        <f t="shared" ref="O31:O33" si="17">F31-2+N31</f>
        <v>1.2999999999999998</v>
      </c>
      <c r="P31" s="30">
        <f>G31-2</f>
        <v>0.60000000000000009</v>
      </c>
      <c r="Q31" s="30">
        <f t="shared" ref="Q31:Q33" si="18">H31-2+P31</f>
        <v>0.89999999999999991</v>
      </c>
      <c r="S31">
        <v>1.2999999999999998</v>
      </c>
      <c r="T31">
        <v>3.3</v>
      </c>
      <c r="U31">
        <v>1</v>
      </c>
      <c r="V31">
        <v>1.2999999999999998</v>
      </c>
      <c r="W31">
        <v>0.60000000000000009</v>
      </c>
      <c r="X31">
        <v>0.89999999999999991</v>
      </c>
    </row>
    <row r="32" spans="1:24" x14ac:dyDescent="0.2">
      <c r="A32" s="143"/>
      <c r="B32">
        <v>3</v>
      </c>
      <c r="C32" s="24">
        <v>3.3</v>
      </c>
      <c r="D32" s="24">
        <v>3</v>
      </c>
      <c r="E32" s="29">
        <v>3.6</v>
      </c>
      <c r="F32" s="29">
        <v>2.2999999999999998</v>
      </c>
      <c r="G32" s="30">
        <v>2.2999999999999998</v>
      </c>
      <c r="H32" s="30">
        <v>2.2999999999999998</v>
      </c>
      <c r="I32" s="33"/>
      <c r="L32" s="32">
        <f>C32-2</f>
        <v>1.2999999999999998</v>
      </c>
      <c r="M32" s="24">
        <f t="shared" si="16"/>
        <v>2.2999999999999998</v>
      </c>
      <c r="N32" s="29">
        <f>E32-2</f>
        <v>1.6</v>
      </c>
      <c r="O32" s="29">
        <f t="shared" si="17"/>
        <v>1.9</v>
      </c>
      <c r="P32" s="30">
        <f>G32-2</f>
        <v>0.29999999999999982</v>
      </c>
      <c r="Q32" s="30">
        <f t="shared" si="18"/>
        <v>0.59999999999999964</v>
      </c>
      <c r="S32">
        <v>1.2999999999999998</v>
      </c>
      <c r="T32">
        <v>2.2999999999999998</v>
      </c>
      <c r="U32">
        <v>1.6</v>
      </c>
      <c r="V32">
        <v>1.9</v>
      </c>
      <c r="W32">
        <v>0.29999999999999982</v>
      </c>
      <c r="X32">
        <v>0.59999999999999964</v>
      </c>
    </row>
    <row r="33" spans="1:24" x14ac:dyDescent="0.2">
      <c r="A33" s="143"/>
      <c r="B33">
        <v>4</v>
      </c>
      <c r="C33" s="24">
        <v>2.2999999999999998</v>
      </c>
      <c r="D33" s="24">
        <v>2.33</v>
      </c>
      <c r="E33" s="29">
        <v>3.33</v>
      </c>
      <c r="F33" s="29">
        <v>2</v>
      </c>
      <c r="G33" s="30">
        <v>1.3</v>
      </c>
      <c r="H33" s="30">
        <v>2</v>
      </c>
      <c r="I33" s="33"/>
      <c r="L33" s="32">
        <f>C33-2</f>
        <v>0.29999999999999982</v>
      </c>
      <c r="M33" s="24">
        <f t="shared" si="16"/>
        <v>0.62999999999999989</v>
      </c>
      <c r="N33" s="29">
        <f>E33-2</f>
        <v>1.33</v>
      </c>
      <c r="O33" s="29">
        <f t="shared" si="17"/>
        <v>1.33</v>
      </c>
      <c r="P33" s="30">
        <f>G33-2</f>
        <v>-0.7</v>
      </c>
      <c r="Q33" s="30">
        <f t="shared" si="18"/>
        <v>-0.7</v>
      </c>
      <c r="S33">
        <v>0.29999999999999982</v>
      </c>
      <c r="T33">
        <v>0.62999999999999989</v>
      </c>
      <c r="U33">
        <v>1.33</v>
      </c>
      <c r="V33">
        <v>1.33</v>
      </c>
      <c r="W33">
        <v>-0.7</v>
      </c>
      <c r="X33">
        <v>-0.7</v>
      </c>
    </row>
    <row r="34" spans="1:24" ht="16" customHeight="1" x14ac:dyDescent="0.2">
      <c r="A34" s="2"/>
      <c r="C34" s="152" t="s">
        <v>45</v>
      </c>
      <c r="D34" s="152"/>
      <c r="E34" s="149" t="s">
        <v>47</v>
      </c>
      <c r="F34" s="150"/>
      <c r="G34" s="140" t="s">
        <v>46</v>
      </c>
      <c r="H34" s="141"/>
      <c r="I34" s="33">
        <f t="shared" si="3"/>
        <v>2.6</v>
      </c>
      <c r="L34" s="153" t="s">
        <v>45</v>
      </c>
      <c r="M34" s="152"/>
      <c r="N34" s="149" t="s">
        <v>47</v>
      </c>
      <c r="O34" s="150"/>
      <c r="P34" s="140" t="s">
        <v>46</v>
      </c>
      <c r="Q34" s="141"/>
      <c r="S34" t="s">
        <v>45</v>
      </c>
      <c r="U34" t="s">
        <v>47</v>
      </c>
      <c r="W34" t="s">
        <v>46</v>
      </c>
    </row>
    <row r="35" spans="1:24" x14ac:dyDescent="0.2">
      <c r="A35" s="143">
        <v>7</v>
      </c>
      <c r="B35">
        <v>1</v>
      </c>
      <c r="C35" s="24">
        <v>2.2999999999999998</v>
      </c>
      <c r="D35" s="24">
        <v>3</v>
      </c>
      <c r="E35" s="29">
        <v>3.6</v>
      </c>
      <c r="F35" s="29">
        <v>3.6</v>
      </c>
      <c r="G35" s="30">
        <v>2.2999999999999998</v>
      </c>
      <c r="H35" s="30">
        <v>2.2999999999999998</v>
      </c>
      <c r="I35" s="33"/>
      <c r="L35" s="32">
        <f>C35-2</f>
        <v>0.29999999999999982</v>
      </c>
      <c r="M35" s="24">
        <f>D35-2+L35</f>
        <v>1.2999999999999998</v>
      </c>
      <c r="N35" s="29">
        <f>E35-2</f>
        <v>1.6</v>
      </c>
      <c r="O35" s="29">
        <f>F35-2+N35</f>
        <v>3.2</v>
      </c>
      <c r="P35" s="30">
        <f>G35-2</f>
        <v>0.29999999999999982</v>
      </c>
      <c r="Q35" s="30">
        <f>H35-2+P35</f>
        <v>0.59999999999999964</v>
      </c>
      <c r="S35">
        <v>0.29999999999999982</v>
      </c>
      <c r="T35">
        <v>1.2999999999999998</v>
      </c>
      <c r="U35">
        <v>1.6</v>
      </c>
      <c r="V35">
        <v>3.2</v>
      </c>
      <c r="W35">
        <v>0.29999999999999982</v>
      </c>
      <c r="X35">
        <v>0.59999999999999964</v>
      </c>
    </row>
    <row r="36" spans="1:24" x14ac:dyDescent="0.2">
      <c r="A36" s="143"/>
      <c r="B36">
        <v>2</v>
      </c>
      <c r="C36" s="24">
        <v>2.2999999999999998</v>
      </c>
      <c r="D36" s="24">
        <v>2.6</v>
      </c>
      <c r="E36" s="29">
        <v>3.3</v>
      </c>
      <c r="F36" s="29">
        <v>3</v>
      </c>
      <c r="G36" s="30">
        <v>2.2999999999999998</v>
      </c>
      <c r="H36" s="30">
        <v>2.2999999999999998</v>
      </c>
      <c r="I36" s="33"/>
      <c r="L36" s="32">
        <f>C36-2</f>
        <v>0.29999999999999982</v>
      </c>
      <c r="M36" s="24">
        <f t="shared" ref="M36:M38" si="19">D36-2+L36</f>
        <v>0.89999999999999991</v>
      </c>
      <c r="N36" s="29">
        <f>E36-2</f>
        <v>1.2999999999999998</v>
      </c>
      <c r="O36" s="29">
        <f t="shared" ref="O36:O38" si="20">F36-2+N36</f>
        <v>2.2999999999999998</v>
      </c>
      <c r="P36" s="30">
        <f>G36-2</f>
        <v>0.29999999999999982</v>
      </c>
      <c r="Q36" s="30">
        <f t="shared" ref="Q36:Q38" si="21">H36-2+P36</f>
        <v>0.59999999999999964</v>
      </c>
      <c r="S36">
        <v>0.29999999999999982</v>
      </c>
      <c r="T36">
        <v>0.89999999999999991</v>
      </c>
      <c r="U36">
        <v>1.2999999999999998</v>
      </c>
      <c r="V36">
        <v>2.2999999999999998</v>
      </c>
      <c r="W36">
        <v>0.29999999999999982</v>
      </c>
      <c r="X36">
        <v>0.59999999999999964</v>
      </c>
    </row>
    <row r="37" spans="1:24" x14ac:dyDescent="0.2">
      <c r="A37" s="143"/>
      <c r="B37">
        <v>3</v>
      </c>
      <c r="C37" s="24">
        <v>3.3</v>
      </c>
      <c r="D37" s="24">
        <v>2.6</v>
      </c>
      <c r="E37" s="29">
        <v>2.6</v>
      </c>
      <c r="F37" s="29">
        <v>2.6</v>
      </c>
      <c r="G37" s="30">
        <v>2</v>
      </c>
      <c r="H37" s="30">
        <v>2.2999999999999998</v>
      </c>
      <c r="I37" s="33"/>
      <c r="L37" s="32">
        <f>C37-2</f>
        <v>1.2999999999999998</v>
      </c>
      <c r="M37" s="24">
        <f t="shared" si="19"/>
        <v>1.9</v>
      </c>
      <c r="N37" s="29">
        <f>E37-2</f>
        <v>0.60000000000000009</v>
      </c>
      <c r="O37" s="29">
        <f t="shared" si="20"/>
        <v>1.2000000000000002</v>
      </c>
      <c r="P37" s="30">
        <f>G37-2</f>
        <v>0</v>
      </c>
      <c r="Q37" s="30">
        <f t="shared" si="21"/>
        <v>0.29999999999999982</v>
      </c>
      <c r="S37">
        <v>1.2999999999999998</v>
      </c>
      <c r="T37">
        <v>1.9</v>
      </c>
      <c r="U37">
        <v>0.60000000000000009</v>
      </c>
      <c r="V37">
        <v>1.2000000000000002</v>
      </c>
      <c r="W37">
        <v>0</v>
      </c>
      <c r="X37">
        <v>0.29999999999999982</v>
      </c>
    </row>
    <row r="38" spans="1:24" ht="16" customHeight="1" x14ac:dyDescent="0.2">
      <c r="A38" s="143"/>
      <c r="B38">
        <v>4</v>
      </c>
      <c r="C38" s="24">
        <v>2.2999999999999998</v>
      </c>
      <c r="D38" s="24">
        <v>2.2999999999999998</v>
      </c>
      <c r="E38" s="29">
        <v>3.6</v>
      </c>
      <c r="F38" s="29">
        <v>2.2999999999999998</v>
      </c>
      <c r="G38" s="30">
        <v>1.6</v>
      </c>
      <c r="H38" s="30">
        <v>2</v>
      </c>
      <c r="I38" s="33"/>
      <c r="L38" s="32">
        <f>C38-2</f>
        <v>0.29999999999999982</v>
      </c>
      <c r="M38" s="24">
        <f t="shared" si="19"/>
        <v>0.59999999999999964</v>
      </c>
      <c r="N38" s="29">
        <f>E38-2</f>
        <v>1.6</v>
      </c>
      <c r="O38" s="29">
        <f t="shared" si="20"/>
        <v>1.9</v>
      </c>
      <c r="P38" s="30">
        <f>G38-2</f>
        <v>-0.39999999999999991</v>
      </c>
      <c r="Q38" s="30">
        <f t="shared" si="21"/>
        <v>-0.39999999999999991</v>
      </c>
      <c r="S38">
        <v>0.29999999999999982</v>
      </c>
      <c r="T38">
        <v>0.59999999999999964</v>
      </c>
      <c r="U38">
        <v>1.6</v>
      </c>
      <c r="V38">
        <v>1.9</v>
      </c>
      <c r="W38">
        <v>-0.39999999999999991</v>
      </c>
      <c r="X38">
        <v>-0.39999999999999991</v>
      </c>
    </row>
    <row r="39" spans="1:24" ht="16" customHeight="1" x14ac:dyDescent="0.2">
      <c r="A39" s="2"/>
      <c r="C39" s="160" t="s">
        <v>77</v>
      </c>
      <c r="D39" s="160"/>
      <c r="E39" s="149" t="s">
        <v>76</v>
      </c>
      <c r="F39" s="150"/>
      <c r="G39" s="156" t="s">
        <v>78</v>
      </c>
      <c r="H39" s="157"/>
      <c r="I39" s="33">
        <f t="shared" si="3"/>
        <v>2.6875</v>
      </c>
      <c r="L39" s="161" t="s">
        <v>77</v>
      </c>
      <c r="M39" s="160"/>
      <c r="N39" s="149" t="s">
        <v>76</v>
      </c>
      <c r="O39" s="150"/>
      <c r="P39" s="156" t="s">
        <v>78</v>
      </c>
      <c r="Q39" s="157"/>
      <c r="S39" t="s">
        <v>77</v>
      </c>
      <c r="U39" t="s">
        <v>76</v>
      </c>
      <c r="W39" t="s">
        <v>78</v>
      </c>
    </row>
    <row r="40" spans="1:24" x14ac:dyDescent="0.2">
      <c r="A40" s="143">
        <v>8</v>
      </c>
      <c r="B40">
        <v>1</v>
      </c>
      <c r="C40" s="24">
        <v>2.6</v>
      </c>
      <c r="D40" s="24">
        <v>3.6</v>
      </c>
      <c r="E40" s="29">
        <v>2.6</v>
      </c>
      <c r="F40" s="29">
        <v>3.3</v>
      </c>
      <c r="G40" s="30">
        <v>3</v>
      </c>
      <c r="H40" s="30">
        <v>2.2999999999999998</v>
      </c>
      <c r="I40" s="33"/>
      <c r="L40" s="32">
        <f>C40-2</f>
        <v>0.60000000000000009</v>
      </c>
      <c r="M40" s="24">
        <f>D40-2+L40</f>
        <v>2.2000000000000002</v>
      </c>
      <c r="N40" s="29">
        <f>E40-2</f>
        <v>0.60000000000000009</v>
      </c>
      <c r="O40" s="29">
        <f>F40-2+N40</f>
        <v>1.9</v>
      </c>
      <c r="P40" s="30">
        <f>G40-2</f>
        <v>1</v>
      </c>
      <c r="Q40" s="30">
        <f>H40-2+P40</f>
        <v>1.2999999999999998</v>
      </c>
      <c r="S40">
        <v>0.60000000000000009</v>
      </c>
      <c r="T40">
        <v>2.2000000000000002</v>
      </c>
      <c r="U40">
        <v>0.60000000000000009</v>
      </c>
      <c r="V40">
        <v>1.9</v>
      </c>
      <c r="W40">
        <v>1</v>
      </c>
      <c r="X40">
        <v>1.2999999999999998</v>
      </c>
    </row>
    <row r="41" spans="1:24" x14ac:dyDescent="0.2">
      <c r="A41" s="143"/>
      <c r="B41">
        <v>2</v>
      </c>
      <c r="C41" s="24">
        <v>2.6</v>
      </c>
      <c r="D41" s="24">
        <v>2.2999999999999998</v>
      </c>
      <c r="E41" s="29">
        <v>2.2999999999999998</v>
      </c>
      <c r="F41" s="29">
        <v>3</v>
      </c>
      <c r="G41" s="30">
        <v>3</v>
      </c>
      <c r="H41" s="30">
        <v>2.6</v>
      </c>
      <c r="I41" s="33"/>
      <c r="L41" s="32">
        <f>C41-2</f>
        <v>0.60000000000000009</v>
      </c>
      <c r="M41" s="24">
        <f t="shared" ref="M41:M43" si="22">D41-2+L41</f>
        <v>0.89999999999999991</v>
      </c>
      <c r="N41" s="29">
        <f>E41-2</f>
        <v>0.29999999999999982</v>
      </c>
      <c r="O41" s="29">
        <f t="shared" ref="O41:O43" si="23">F41-2+N41</f>
        <v>1.2999999999999998</v>
      </c>
      <c r="P41" s="30">
        <f>G41-2</f>
        <v>1</v>
      </c>
      <c r="Q41" s="30">
        <f t="shared" ref="Q41:Q43" si="24">H41-2+P41</f>
        <v>1.6</v>
      </c>
      <c r="S41">
        <v>0.60000000000000009</v>
      </c>
      <c r="T41">
        <v>0.89999999999999991</v>
      </c>
      <c r="U41">
        <v>0.29999999999999982</v>
      </c>
      <c r="V41">
        <v>1.2999999999999998</v>
      </c>
      <c r="W41">
        <v>1</v>
      </c>
      <c r="X41">
        <v>1.6</v>
      </c>
    </row>
    <row r="42" spans="1:24" x14ac:dyDescent="0.2">
      <c r="A42" s="143"/>
      <c r="B42">
        <v>3</v>
      </c>
      <c r="C42" s="24">
        <v>3.6</v>
      </c>
      <c r="D42" s="24">
        <v>2.2999999999999998</v>
      </c>
      <c r="E42" s="29">
        <v>3.3</v>
      </c>
      <c r="F42" s="29">
        <v>2.6</v>
      </c>
      <c r="G42" s="30">
        <v>3</v>
      </c>
      <c r="H42" s="30">
        <v>2.6</v>
      </c>
      <c r="I42" s="33"/>
      <c r="L42" s="32">
        <f>C42-2</f>
        <v>1.6</v>
      </c>
      <c r="M42" s="24">
        <f t="shared" si="22"/>
        <v>1.9</v>
      </c>
      <c r="N42" s="29">
        <f>E42-2</f>
        <v>1.2999999999999998</v>
      </c>
      <c r="O42" s="29">
        <f t="shared" si="23"/>
        <v>1.9</v>
      </c>
      <c r="P42" s="30">
        <f>G42-2</f>
        <v>1</v>
      </c>
      <c r="Q42" s="30">
        <f t="shared" si="24"/>
        <v>1.6</v>
      </c>
      <c r="S42">
        <v>1.6</v>
      </c>
      <c r="T42">
        <v>1.9</v>
      </c>
      <c r="U42">
        <v>1.2999999999999998</v>
      </c>
      <c r="V42">
        <v>1.9</v>
      </c>
      <c r="W42">
        <v>1</v>
      </c>
      <c r="X42">
        <v>1.6</v>
      </c>
    </row>
    <row r="43" spans="1:24" ht="16" customHeight="1" x14ac:dyDescent="0.2">
      <c r="A43" s="143"/>
      <c r="B43">
        <v>4</v>
      </c>
      <c r="C43" s="25">
        <v>3</v>
      </c>
      <c r="D43" s="24">
        <v>2</v>
      </c>
      <c r="E43" s="29">
        <v>3.3</v>
      </c>
      <c r="F43" s="29">
        <v>2.2999999999999998</v>
      </c>
      <c r="G43" s="30">
        <v>1</v>
      </c>
      <c r="H43" s="30">
        <v>2.2999999999999998</v>
      </c>
      <c r="I43" s="33"/>
      <c r="L43" s="32">
        <f>C43-2</f>
        <v>1</v>
      </c>
      <c r="M43" s="24">
        <f t="shared" si="22"/>
        <v>1</v>
      </c>
      <c r="N43" s="29">
        <f>E43-2</f>
        <v>1.2999999999999998</v>
      </c>
      <c r="O43" s="29">
        <f t="shared" si="23"/>
        <v>1.5999999999999996</v>
      </c>
      <c r="P43" s="30">
        <f>G43-2</f>
        <v>-1</v>
      </c>
      <c r="Q43" s="30">
        <f t="shared" si="24"/>
        <v>-0.70000000000000018</v>
      </c>
      <c r="S43">
        <v>1</v>
      </c>
      <c r="T43">
        <v>1</v>
      </c>
      <c r="U43">
        <v>1.2999999999999998</v>
      </c>
      <c r="V43">
        <v>1.5999999999999996</v>
      </c>
      <c r="W43">
        <v>-1</v>
      </c>
      <c r="X43">
        <v>-0.70000000000000018</v>
      </c>
    </row>
    <row r="44" spans="1:24" ht="16" customHeight="1" x14ac:dyDescent="0.2">
      <c r="A44" s="2"/>
      <c r="C44" s="160" t="s">
        <v>84</v>
      </c>
      <c r="D44" s="160"/>
      <c r="E44" s="154" t="s">
        <v>83</v>
      </c>
      <c r="F44" s="155"/>
      <c r="G44" s="156" t="s">
        <v>82</v>
      </c>
      <c r="H44" s="157"/>
      <c r="I44" s="33">
        <f t="shared" si="3"/>
        <v>2.9874999999999994</v>
      </c>
      <c r="L44" s="161" t="s">
        <v>84</v>
      </c>
      <c r="M44" s="160"/>
      <c r="N44" s="154" t="s">
        <v>83</v>
      </c>
      <c r="O44" s="155"/>
      <c r="P44" s="156" t="s">
        <v>82</v>
      </c>
      <c r="Q44" s="157"/>
      <c r="S44" t="s">
        <v>84</v>
      </c>
      <c r="U44" t="s">
        <v>83</v>
      </c>
      <c r="W44" t="s">
        <v>82</v>
      </c>
    </row>
    <row r="45" spans="1:24" x14ac:dyDescent="0.2">
      <c r="A45" s="143">
        <v>9</v>
      </c>
      <c r="B45">
        <v>1</v>
      </c>
      <c r="C45" s="24">
        <v>3.6</v>
      </c>
      <c r="D45" s="24">
        <v>4</v>
      </c>
      <c r="E45" s="29">
        <v>3.3</v>
      </c>
      <c r="F45" s="29">
        <v>3.6</v>
      </c>
      <c r="G45" s="30">
        <v>3</v>
      </c>
      <c r="H45" s="30">
        <v>2</v>
      </c>
      <c r="I45" s="33"/>
      <c r="L45" s="32">
        <f>C45-2</f>
        <v>1.6</v>
      </c>
      <c r="M45" s="24">
        <f>D45-2+L45</f>
        <v>3.6</v>
      </c>
      <c r="N45" s="29">
        <f>E45-2</f>
        <v>1.2999999999999998</v>
      </c>
      <c r="O45" s="29">
        <f>F45-2+N45</f>
        <v>2.9</v>
      </c>
      <c r="P45" s="30">
        <f>G45-2</f>
        <v>1</v>
      </c>
      <c r="Q45" s="30">
        <f>H45-2+P45</f>
        <v>1</v>
      </c>
      <c r="S45">
        <v>1.6</v>
      </c>
      <c r="T45">
        <v>3.6</v>
      </c>
      <c r="U45">
        <v>1.2999999999999998</v>
      </c>
      <c r="V45">
        <v>2.9</v>
      </c>
      <c r="W45">
        <v>1</v>
      </c>
      <c r="X45">
        <v>1</v>
      </c>
    </row>
    <row r="46" spans="1:24" x14ac:dyDescent="0.2">
      <c r="A46" s="143"/>
      <c r="B46">
        <v>2</v>
      </c>
      <c r="C46" s="24">
        <v>3</v>
      </c>
      <c r="D46" s="24">
        <v>2.2999999999999998</v>
      </c>
      <c r="E46" s="29">
        <v>3.3</v>
      </c>
      <c r="F46" s="29">
        <v>3.3</v>
      </c>
      <c r="G46" s="30">
        <v>3</v>
      </c>
      <c r="H46" s="30">
        <v>2.2999999999999998</v>
      </c>
      <c r="I46" s="33"/>
      <c r="L46" s="32">
        <f>C46-2</f>
        <v>1</v>
      </c>
      <c r="M46" s="24">
        <f t="shared" ref="M46:M48" si="25">D46-2+L46</f>
        <v>1.2999999999999998</v>
      </c>
      <c r="N46" s="29">
        <f>E46-2</f>
        <v>1.2999999999999998</v>
      </c>
      <c r="O46" s="29">
        <f t="shared" ref="O46:O48" si="26">F46-2+N46</f>
        <v>2.5999999999999996</v>
      </c>
      <c r="P46" s="30">
        <f>G46-2</f>
        <v>1</v>
      </c>
      <c r="Q46" s="30">
        <f t="shared" ref="Q46:Q48" si="27">H46-2+P46</f>
        <v>1.2999999999999998</v>
      </c>
      <c r="S46">
        <v>1</v>
      </c>
      <c r="T46">
        <v>1.2999999999999998</v>
      </c>
      <c r="U46">
        <v>1.2999999999999998</v>
      </c>
      <c r="V46">
        <v>2.5999999999999996</v>
      </c>
      <c r="W46">
        <v>1</v>
      </c>
      <c r="X46">
        <v>1.2999999999999998</v>
      </c>
    </row>
    <row r="47" spans="1:24" x14ac:dyDescent="0.2">
      <c r="A47" s="143"/>
      <c r="B47">
        <v>3</v>
      </c>
      <c r="C47" s="24">
        <v>2.6</v>
      </c>
      <c r="D47" s="24">
        <v>2.2999999999999998</v>
      </c>
      <c r="E47" s="29">
        <v>3.6</v>
      </c>
      <c r="F47" s="29">
        <v>3</v>
      </c>
      <c r="G47" s="30">
        <v>3</v>
      </c>
      <c r="H47" s="30">
        <v>2.2999999999999998</v>
      </c>
      <c r="I47" s="33"/>
      <c r="L47" s="32">
        <f>C47-2</f>
        <v>0.60000000000000009</v>
      </c>
      <c r="M47" s="24">
        <f t="shared" si="25"/>
        <v>0.89999999999999991</v>
      </c>
      <c r="N47" s="29">
        <f>E47-2</f>
        <v>1.6</v>
      </c>
      <c r="O47" s="29">
        <f t="shared" si="26"/>
        <v>2.6</v>
      </c>
      <c r="P47" s="30">
        <f>G47-2</f>
        <v>1</v>
      </c>
      <c r="Q47" s="30">
        <f t="shared" si="27"/>
        <v>1.2999999999999998</v>
      </c>
      <c r="S47">
        <v>0.60000000000000009</v>
      </c>
      <c r="T47">
        <v>0.89999999999999991</v>
      </c>
      <c r="U47">
        <v>1.6</v>
      </c>
      <c r="V47">
        <v>2.6</v>
      </c>
      <c r="W47">
        <v>1</v>
      </c>
      <c r="X47">
        <v>1.2999999999999998</v>
      </c>
    </row>
    <row r="48" spans="1:24" x14ac:dyDescent="0.2">
      <c r="A48" s="143"/>
      <c r="B48">
        <v>4</v>
      </c>
      <c r="C48" s="24">
        <v>4.5999999999999996</v>
      </c>
      <c r="D48" s="24">
        <v>2</v>
      </c>
      <c r="E48" s="29">
        <v>4</v>
      </c>
      <c r="F48" s="29">
        <v>2.2999999999999998</v>
      </c>
      <c r="G48" s="30">
        <v>3.3</v>
      </c>
      <c r="H48" s="30">
        <v>2</v>
      </c>
      <c r="I48" s="33"/>
      <c r="L48" s="32">
        <f>C48-2</f>
        <v>2.5999999999999996</v>
      </c>
      <c r="M48" s="24">
        <f t="shared" si="25"/>
        <v>2.5999999999999996</v>
      </c>
      <c r="N48" s="29">
        <f>E48-2</f>
        <v>2</v>
      </c>
      <c r="O48" s="29">
        <f t="shared" si="26"/>
        <v>2.2999999999999998</v>
      </c>
      <c r="P48" s="30">
        <f>G48-2</f>
        <v>1.2999999999999998</v>
      </c>
      <c r="Q48" s="30">
        <f t="shared" si="27"/>
        <v>1.2999999999999998</v>
      </c>
      <c r="S48">
        <v>2.5999999999999996</v>
      </c>
      <c r="T48">
        <v>2.5999999999999996</v>
      </c>
      <c r="U48">
        <v>2</v>
      </c>
      <c r="V48">
        <v>2.2999999999999998</v>
      </c>
      <c r="W48">
        <v>1.2999999999999998</v>
      </c>
      <c r="X48">
        <v>1.2999999999999998</v>
      </c>
    </row>
    <row r="49" spans="1:24" x14ac:dyDescent="0.2">
      <c r="A49" s="2"/>
      <c r="C49" s="152" t="s">
        <v>89</v>
      </c>
      <c r="D49" s="152"/>
      <c r="E49" s="149" t="s">
        <v>87</v>
      </c>
      <c r="F49" s="150"/>
      <c r="G49" s="140" t="s">
        <v>88</v>
      </c>
      <c r="H49" s="141"/>
      <c r="I49" s="33">
        <f t="shared" si="3"/>
        <v>3.0166666666666662</v>
      </c>
      <c r="L49" s="153" t="s">
        <v>89</v>
      </c>
      <c r="M49" s="152"/>
      <c r="N49" s="149" t="s">
        <v>87</v>
      </c>
      <c r="O49" s="150"/>
      <c r="P49" s="140" t="s">
        <v>88</v>
      </c>
      <c r="Q49" s="141"/>
      <c r="S49" t="s">
        <v>89</v>
      </c>
      <c r="U49" t="s">
        <v>87</v>
      </c>
      <c r="W49" t="s">
        <v>88</v>
      </c>
    </row>
    <row r="50" spans="1:24" x14ac:dyDescent="0.2">
      <c r="A50" s="143">
        <v>10</v>
      </c>
      <c r="B50">
        <v>1</v>
      </c>
      <c r="C50" s="24">
        <v>3.6</v>
      </c>
      <c r="D50" s="24">
        <v>4</v>
      </c>
      <c r="E50" s="29">
        <v>3</v>
      </c>
      <c r="F50" s="29">
        <v>4</v>
      </c>
      <c r="G50" s="30">
        <v>3</v>
      </c>
      <c r="H50" s="30">
        <v>4</v>
      </c>
      <c r="I50" s="33"/>
      <c r="L50" s="32">
        <f>C50-2</f>
        <v>1.6</v>
      </c>
      <c r="M50" s="24">
        <f>D50-2+L50</f>
        <v>3.6</v>
      </c>
      <c r="N50" s="29">
        <f>E50-2</f>
        <v>1</v>
      </c>
      <c r="O50" s="29">
        <f>F50-2+N50</f>
        <v>3</v>
      </c>
      <c r="P50" s="30">
        <f>G50-2</f>
        <v>1</v>
      </c>
      <c r="Q50" s="30">
        <f>H50-2+P50</f>
        <v>3</v>
      </c>
      <c r="S50">
        <v>1.6</v>
      </c>
      <c r="T50">
        <v>3.6</v>
      </c>
      <c r="U50">
        <v>1</v>
      </c>
      <c r="V50">
        <v>3</v>
      </c>
      <c r="W50">
        <v>1</v>
      </c>
      <c r="X50">
        <v>3</v>
      </c>
    </row>
    <row r="51" spans="1:24" x14ac:dyDescent="0.2">
      <c r="A51" s="143"/>
      <c r="B51">
        <v>2</v>
      </c>
      <c r="C51" s="24">
        <v>3.6</v>
      </c>
      <c r="D51" s="24">
        <v>2.2999999999999998</v>
      </c>
      <c r="E51" s="29">
        <v>3</v>
      </c>
      <c r="F51" s="29">
        <v>2.6</v>
      </c>
      <c r="G51" s="30">
        <v>3</v>
      </c>
      <c r="H51" s="30">
        <v>2.2999999999999998</v>
      </c>
      <c r="I51" s="33"/>
      <c r="L51" s="32">
        <f>C51-2</f>
        <v>1.6</v>
      </c>
      <c r="M51" s="24">
        <f t="shared" ref="M51:M53" si="28">D51-2+L51</f>
        <v>1.9</v>
      </c>
      <c r="N51" s="29">
        <f>E51-2</f>
        <v>1</v>
      </c>
      <c r="O51" s="29">
        <f t="shared" ref="O51:O53" si="29">F51-2+N51</f>
        <v>1.6</v>
      </c>
      <c r="P51" s="30">
        <f>G51-2</f>
        <v>1</v>
      </c>
      <c r="Q51" s="30">
        <f t="shared" ref="Q51:Q53" si="30">H51-2+P51</f>
        <v>1.2999999999999998</v>
      </c>
      <c r="S51">
        <v>1.6</v>
      </c>
      <c r="T51">
        <v>1.9</v>
      </c>
      <c r="U51">
        <v>1</v>
      </c>
      <c r="V51">
        <v>1.6</v>
      </c>
      <c r="W51">
        <v>1</v>
      </c>
      <c r="X51">
        <v>1.2999999999999998</v>
      </c>
    </row>
    <row r="52" spans="1:24" x14ac:dyDescent="0.2">
      <c r="A52" s="143"/>
      <c r="B52">
        <v>3</v>
      </c>
      <c r="C52" s="24">
        <v>3.3</v>
      </c>
      <c r="D52" s="24">
        <v>2.2999999999999998</v>
      </c>
      <c r="E52" s="29">
        <v>2.6</v>
      </c>
      <c r="F52" s="29">
        <v>2.6</v>
      </c>
      <c r="G52" s="30">
        <v>2.6</v>
      </c>
      <c r="H52" s="30">
        <v>2.2999999999999998</v>
      </c>
      <c r="I52" s="33"/>
      <c r="L52" s="32">
        <f>C52-2</f>
        <v>1.2999999999999998</v>
      </c>
      <c r="M52" s="24">
        <f t="shared" si="28"/>
        <v>1.5999999999999996</v>
      </c>
      <c r="N52" s="29">
        <f>E52-2</f>
        <v>0.60000000000000009</v>
      </c>
      <c r="O52" s="29">
        <f t="shared" si="29"/>
        <v>1.2000000000000002</v>
      </c>
      <c r="P52" s="30">
        <f>G52-2</f>
        <v>0.60000000000000009</v>
      </c>
      <c r="Q52" s="30">
        <f t="shared" si="30"/>
        <v>0.89999999999999991</v>
      </c>
      <c r="S52">
        <v>1.2999999999999998</v>
      </c>
      <c r="T52">
        <v>1.5999999999999996</v>
      </c>
      <c r="U52">
        <v>0.60000000000000009</v>
      </c>
      <c r="V52">
        <v>1.2000000000000002</v>
      </c>
      <c r="W52">
        <v>0.60000000000000009</v>
      </c>
      <c r="X52">
        <v>0.89999999999999991</v>
      </c>
    </row>
    <row r="53" spans="1:24" ht="17" thickBot="1" x14ac:dyDescent="0.25">
      <c r="A53" s="143"/>
      <c r="B53">
        <v>4</v>
      </c>
      <c r="C53" s="24">
        <v>4</v>
      </c>
      <c r="D53" s="24">
        <v>2</v>
      </c>
      <c r="E53" s="29">
        <v>4</v>
      </c>
      <c r="F53" s="29">
        <v>2.2999999999999998</v>
      </c>
      <c r="G53" s="30">
        <v>4</v>
      </c>
      <c r="H53" s="30">
        <v>2</v>
      </c>
      <c r="I53" s="33"/>
      <c r="L53" s="40">
        <f>C53-2</f>
        <v>2</v>
      </c>
      <c r="M53" s="24">
        <f t="shared" si="28"/>
        <v>2</v>
      </c>
      <c r="N53" s="29">
        <f>E53-2</f>
        <v>2</v>
      </c>
      <c r="O53" s="29">
        <f t="shared" si="29"/>
        <v>2.2999999999999998</v>
      </c>
      <c r="P53" s="30">
        <f>G53-2</f>
        <v>2</v>
      </c>
      <c r="Q53" s="30">
        <f t="shared" si="30"/>
        <v>2</v>
      </c>
      <c r="S53">
        <v>2</v>
      </c>
      <c r="T53">
        <v>2</v>
      </c>
      <c r="U53">
        <v>2</v>
      </c>
      <c r="V53">
        <v>2.2999999999999998</v>
      </c>
      <c r="W53">
        <v>2</v>
      </c>
      <c r="X53">
        <v>2</v>
      </c>
    </row>
    <row r="54" spans="1:24" ht="18" thickTop="1" thickBot="1" x14ac:dyDescent="0.25">
      <c r="A54" s="2"/>
      <c r="C54" s="24"/>
      <c r="D54" s="24"/>
      <c r="E54" s="29"/>
      <c r="F54" s="29"/>
      <c r="G54" s="30"/>
      <c r="H54" s="38"/>
      <c r="I54" t="s">
        <v>104</v>
      </c>
      <c r="L54" s="55">
        <f>AVERAGE(L5:M8,L10:M13,L15:M18,L20:M23,L25:M28,L30:M33,L35:M38,L40:M43,L45:M48,L50:M53)/2</f>
        <v>0.87924999999999931</v>
      </c>
      <c r="M54" s="39"/>
      <c r="N54" s="55">
        <f>AVERAGE(N5:O8,N10:O13,N15:O18,N20:O23,N25:O28,N30:O33,N35:O38,N40:O43,N45:O48,N50:O53)/2</f>
        <v>0.82037499999999974</v>
      </c>
      <c r="O54" s="55"/>
      <c r="P54" s="55">
        <f>AVERAGE(P5:Q8,P10:Q13,P15:Q18,P20:Q23,P25:Q28,P30:Q33,P35:Q38,P40:Q43,P45:Q48,P50:Q53)/2</f>
        <v>0.46874999999999972</v>
      </c>
      <c r="Q54" s="39"/>
    </row>
    <row r="55" spans="1:24" ht="20" thickBot="1" x14ac:dyDescent="0.3">
      <c r="E55" s="26"/>
      <c r="F55" s="26"/>
      <c r="G55" s="26"/>
      <c r="H55" s="41"/>
      <c r="I55" s="37" t="s">
        <v>105</v>
      </c>
      <c r="J55" s="105"/>
      <c r="K55" s="105"/>
      <c r="L55" s="56">
        <f t="shared" ref="L55:Q55" si="31">AVERAGE(L5:L53)/2</f>
        <v>0.67637499999999973</v>
      </c>
      <c r="M55" s="57">
        <f t="shared" si="31"/>
        <v>1.082125</v>
      </c>
      <c r="N55" s="58">
        <f t="shared" si="31"/>
        <v>0.63162499999999999</v>
      </c>
      <c r="O55" s="58">
        <f t="shared" si="31"/>
        <v>1.0091249999999996</v>
      </c>
      <c r="P55" s="59">
        <f t="shared" si="31"/>
        <v>0.3862500000000002</v>
      </c>
      <c r="Q55" s="60">
        <f t="shared" si="31"/>
        <v>0.5512499999999998</v>
      </c>
    </row>
    <row r="56" spans="1:24" ht="35" thickTop="1" x14ac:dyDescent="0.2">
      <c r="C56" s="26">
        <f>AVERAGE(C5:D8,C10:D13,C15:D18,C20:D23,C25:D28,C30:D33,C35:D38,C40:D43,C45:D48,C50:D53)</f>
        <v>2.9821250000000008</v>
      </c>
      <c r="E56">
        <f>AVERAGE(E5:F8,E10:F13,E15:F18,E20:F23,E25:F28,E30:F33,E35:F38,E40:F43,E45:F48,E50:F53)</f>
        <v>2.9091250000000004</v>
      </c>
      <c r="G56">
        <f>AVERAGE(G5:H8,G10:H13,G15:H18,G20:H23,G25:H28,G30:H33,G35:H38,G40:H43,G45:H48,G50:H53)</f>
        <v>2.4512499999999999</v>
      </c>
      <c r="H56" s="42" t="s">
        <v>100</v>
      </c>
      <c r="I56" s="43" t="s">
        <v>90</v>
      </c>
      <c r="J56" s="21"/>
      <c r="K56" s="21"/>
      <c r="L56" s="100">
        <f>AVERAGE(L5,L10,L15,L20,L25,L30,L35,L40,L45,L50)/3.36</f>
        <v>0.43779761904761905</v>
      </c>
      <c r="M56" s="101">
        <f>AVERAGE(M5,M10,M15,M20,M25,M30,M35,M40,M45,M50)/4</f>
        <v>0.75600000000000012</v>
      </c>
      <c r="N56" s="48">
        <f>AVERAGE(N5,N10,N15,N20,N25,N30,N35,N40,N45,N50)/3.36</f>
        <v>0.35416666666666669</v>
      </c>
      <c r="O56" s="95">
        <f>AVERAGE(O5,O10,O15,O20,O25,O30,O35,O40,O45,O50)/4</f>
        <v>0.65499999999999992</v>
      </c>
      <c r="P56" s="102">
        <f>AVERAGE(P5,P10,P15,P20,P25,P30,P35,P40,P45,P50)/3.36</f>
        <v>0.29166666666666663</v>
      </c>
      <c r="Q56" s="103">
        <f>AVERAGE(Q5,Q10,Q15,Q20,Q25,Q30,Q35,Q40,Q45,Q50)/4</f>
        <v>0.3874999999999999</v>
      </c>
    </row>
    <row r="57" spans="1:24" ht="51" x14ac:dyDescent="0.2">
      <c r="H57" s="44" t="s">
        <v>101</v>
      </c>
      <c r="I57" s="45" t="s">
        <v>91</v>
      </c>
      <c r="J57" s="21"/>
      <c r="K57" s="21"/>
      <c r="L57" s="49">
        <f t="shared" ref="L57:Q57" si="32">AVERAGE(L6,L11,L16,L21,L26,L31,L36,L41,L46,L51)/3.33</f>
        <v>0.39399399399399399</v>
      </c>
      <c r="M57" s="49">
        <f t="shared" si="32"/>
        <v>0.66876876876876856</v>
      </c>
      <c r="N57" s="50">
        <f t="shared" si="32"/>
        <v>0.3423423423423424</v>
      </c>
      <c r="O57" s="50">
        <f t="shared" si="32"/>
        <v>0.57357357357357364</v>
      </c>
      <c r="P57" s="97">
        <f t="shared" si="32"/>
        <v>0.30330330330330335</v>
      </c>
      <c r="Q57" s="92">
        <f t="shared" si="32"/>
        <v>0.40240240240240233</v>
      </c>
    </row>
    <row r="58" spans="1:24" ht="51" x14ac:dyDescent="0.2">
      <c r="F58" s="143" t="s">
        <v>117</v>
      </c>
      <c r="G58" s="164"/>
      <c r="H58" s="44" t="s">
        <v>102</v>
      </c>
      <c r="I58" s="45" t="s">
        <v>92</v>
      </c>
      <c r="J58" s="21"/>
      <c r="K58" s="21"/>
      <c r="L58" s="49">
        <f>AVERAGE(L7,L12,L17,L22,L27,L32,L37,L42,L47,L52)/4</f>
        <v>0.36075000000000002</v>
      </c>
      <c r="M58" s="94">
        <f>AVERAGE(M7,M12,M17,M22,M27,M32,M37,M42,M47,M52)/3.33</f>
        <v>0.61831831831831818</v>
      </c>
      <c r="N58" s="98">
        <f>AVERAGE(N7,N12,N17,N22,N27,N32,N37,N42,N47,N52)/4</f>
        <v>0.28749999999999992</v>
      </c>
      <c r="O58" s="99">
        <f>AVERAGE(O7,O12,O17,O22,O27,O32,O37,O42,O47,O52)/3.33</f>
        <v>0.51951951951951947</v>
      </c>
      <c r="P58" s="52">
        <f>AVERAGE(P7,P12,P17,P22,P27,P32,P37,P42,P47,P52)/4</f>
        <v>0.15</v>
      </c>
      <c r="Q58" s="51">
        <f>AVERAGE(Q7,Q12,Q17,Q22,Q27,Q32,Q37,Q42,Q47,Q52)/3.33</f>
        <v>0.28828828828828829</v>
      </c>
    </row>
    <row r="59" spans="1:24" ht="52" thickBot="1" x14ac:dyDescent="0.25">
      <c r="H59" s="46" t="s">
        <v>103</v>
      </c>
      <c r="I59" s="47" t="s">
        <v>93</v>
      </c>
      <c r="J59" s="21"/>
      <c r="K59" s="21"/>
      <c r="L59" s="53">
        <f>AVERAGE(L8,L13,L18,L23,L28,L33,L38,L43,L48,L53)/4</f>
        <v>0.29625000000000001</v>
      </c>
      <c r="M59" s="53">
        <f>AVERAGE(M8,M13,M18,M23,M28,M33,M38,M43,M48,M53)/4</f>
        <v>0.33674999999999999</v>
      </c>
      <c r="N59" s="54">
        <f>AVERAGE(N8,N13,N18,N23,N28,N33,N38,N43,N48,N53)/4</f>
        <v>0.39324999999999999</v>
      </c>
      <c r="O59" s="54">
        <f>AVERAGE(O8,O13,O18,O23,O28,O33,O38,O43,O48,O53)/4</f>
        <v>0.45324999999999999</v>
      </c>
      <c r="P59" s="96">
        <f>AVERAGE(P8,P13,P18,P23,P28,P33,P38,P43,P48,P53)/4</f>
        <v>0.125</v>
      </c>
      <c r="Q59" s="96">
        <f>AVERAGE(Q8,Q13,Q18,Q23,Q28,Q33,Q38,Q43,Q48,Q53)/4</f>
        <v>0.13999999999999999</v>
      </c>
    </row>
    <row r="60" spans="1:24" ht="20" thickTop="1" x14ac:dyDescent="0.2">
      <c r="H60" s="1"/>
      <c r="I60" s="21"/>
      <c r="J60" s="21"/>
      <c r="K60" s="21"/>
      <c r="M60" s="61"/>
      <c r="N60" s="62"/>
      <c r="O60" s="61"/>
      <c r="P60" s="61"/>
      <c r="Q60" s="61"/>
    </row>
    <row r="61" spans="1:24" ht="17" thickBot="1" x14ac:dyDescent="0.25">
      <c r="L61" s="63" t="s">
        <v>98</v>
      </c>
      <c r="M61" s="63" t="s">
        <v>99</v>
      </c>
    </row>
    <row r="62" spans="1:24" ht="35" thickTop="1" x14ac:dyDescent="0.2">
      <c r="H62" s="42" t="s">
        <v>100</v>
      </c>
      <c r="I62" s="34" t="s">
        <v>90</v>
      </c>
      <c r="L62" s="73">
        <f>AVERAGE(L56,N56,P56)</f>
        <v>0.3612103174603174</v>
      </c>
      <c r="M62" s="73">
        <f>AVERAGE(M56,O56,Q56)</f>
        <v>0.59950000000000003</v>
      </c>
    </row>
    <row r="63" spans="1:24" ht="51" x14ac:dyDescent="0.2">
      <c r="H63" s="44" t="s">
        <v>101</v>
      </c>
      <c r="I63" s="35" t="s">
        <v>91</v>
      </c>
      <c r="L63" s="73">
        <f t="shared" ref="L63:M64" si="33">AVERAGE(L57,N57,P57)</f>
        <v>0.34654654654654654</v>
      </c>
      <c r="M63" s="73">
        <f t="shared" si="33"/>
        <v>0.54824824824824825</v>
      </c>
    </row>
    <row r="64" spans="1:24" ht="52" x14ac:dyDescent="0.25">
      <c r="F64" s="162" t="s">
        <v>118</v>
      </c>
      <c r="G64" s="163"/>
      <c r="H64" s="44" t="s">
        <v>102</v>
      </c>
      <c r="I64" s="35" t="s">
        <v>92</v>
      </c>
      <c r="L64" s="73">
        <f t="shared" si="33"/>
        <v>0.26608333333333334</v>
      </c>
      <c r="M64" s="73">
        <f t="shared" si="33"/>
        <v>0.47537537537537528</v>
      </c>
    </row>
    <row r="65" spans="6:17" ht="52" thickBot="1" x14ac:dyDescent="0.25">
      <c r="F65" s="93"/>
      <c r="G65" s="93"/>
      <c r="H65" s="46" t="s">
        <v>103</v>
      </c>
      <c r="I65" s="36" t="s">
        <v>93</v>
      </c>
      <c r="L65" s="73">
        <f>AVERAGE(L59,N59,P59)</f>
        <v>0.27150000000000002</v>
      </c>
      <c r="M65" s="74" t="s">
        <v>12</v>
      </c>
    </row>
    <row r="66" spans="6:17" ht="20" thickTop="1" x14ac:dyDescent="0.25">
      <c r="F66" s="93"/>
      <c r="G66" s="93"/>
      <c r="H66" s="1"/>
      <c r="L66" s="65"/>
      <c r="M66" s="66"/>
    </row>
    <row r="67" spans="6:17" ht="17" thickBot="1" x14ac:dyDescent="0.25">
      <c r="F67" s="93"/>
      <c r="G67" s="93"/>
      <c r="L67" s="63" t="s">
        <v>106</v>
      </c>
      <c r="M67" s="63" t="s">
        <v>107</v>
      </c>
    </row>
    <row r="68" spans="6:17" ht="35" thickTop="1" x14ac:dyDescent="0.2">
      <c r="F68" s="93"/>
      <c r="G68" s="93"/>
      <c r="H68" s="42" t="s">
        <v>100</v>
      </c>
      <c r="I68" s="67" t="s">
        <v>90</v>
      </c>
      <c r="J68" s="64"/>
      <c r="K68" s="64"/>
      <c r="L68" s="73">
        <f>AVERAGE(L56:Q56)</f>
        <v>0.48035515873015866</v>
      </c>
      <c r="M68" s="73">
        <f>MEDIAN(L56:Q56)</f>
        <v>0.41264880952380945</v>
      </c>
    </row>
    <row r="69" spans="6:17" ht="51" x14ac:dyDescent="0.2">
      <c r="F69" s="93"/>
      <c r="G69" s="93"/>
      <c r="H69" s="44" t="s">
        <v>101</v>
      </c>
      <c r="I69" s="68" t="s">
        <v>91</v>
      </c>
      <c r="J69" s="64"/>
      <c r="K69" s="64"/>
      <c r="L69" s="73">
        <f t="shared" ref="L69:L71" si="34">AVERAGE(L57:Q57)</f>
        <v>0.44739739739739742</v>
      </c>
      <c r="M69" s="73">
        <f>MEDIAN(L57:Q57)</f>
        <v>0.39819819819819813</v>
      </c>
    </row>
    <row r="70" spans="6:17" ht="52" x14ac:dyDescent="0.25">
      <c r="F70" s="162" t="s">
        <v>119</v>
      </c>
      <c r="G70" s="163"/>
      <c r="H70" s="44" t="s">
        <v>102</v>
      </c>
      <c r="I70" s="68" t="s">
        <v>92</v>
      </c>
      <c r="J70" s="64"/>
      <c r="K70" s="64"/>
      <c r="L70" s="73">
        <f t="shared" si="34"/>
        <v>0.37072935435435433</v>
      </c>
      <c r="M70" s="73">
        <f>MEDIAN(L58:Q58)</f>
        <v>0.32451914414414418</v>
      </c>
    </row>
    <row r="71" spans="6:17" ht="52" thickBot="1" x14ac:dyDescent="0.25">
      <c r="F71" s="93"/>
      <c r="G71" s="93"/>
      <c r="H71" s="46" t="s">
        <v>103</v>
      </c>
      <c r="I71" s="69" t="s">
        <v>93</v>
      </c>
      <c r="J71" s="64"/>
      <c r="K71" s="64"/>
      <c r="L71" s="73">
        <f t="shared" si="34"/>
        <v>0.29075000000000001</v>
      </c>
      <c r="M71" s="74" t="s">
        <v>12</v>
      </c>
    </row>
    <row r="72" spans="6:17" ht="20" thickTop="1" x14ac:dyDescent="0.2">
      <c r="F72" s="93"/>
      <c r="G72" s="93"/>
      <c r="H72" s="1"/>
      <c r="I72" s="64"/>
      <c r="J72" s="64"/>
      <c r="K72" s="64"/>
      <c r="L72" s="75"/>
      <c r="M72" s="76"/>
    </row>
    <row r="73" spans="6:17" x14ac:dyDescent="0.2">
      <c r="F73" s="93"/>
      <c r="G73" s="93"/>
      <c r="H73" s="1"/>
      <c r="I73" s="64"/>
      <c r="J73" s="64"/>
      <c r="K73" s="64"/>
      <c r="L73" s="165" t="s">
        <v>37</v>
      </c>
      <c r="M73" s="165"/>
      <c r="N73" s="166" t="s">
        <v>32</v>
      </c>
      <c r="O73" s="166"/>
      <c r="P73" s="167" t="s">
        <v>33</v>
      </c>
      <c r="Q73" s="167"/>
    </row>
    <row r="74" spans="6:17" ht="22" thickBot="1" x14ac:dyDescent="0.3">
      <c r="F74" s="93"/>
      <c r="G74" s="93"/>
      <c r="L74" s="91" t="s">
        <v>98</v>
      </c>
      <c r="M74" s="91" t="s">
        <v>99</v>
      </c>
      <c r="N74" s="91" t="s">
        <v>98</v>
      </c>
      <c r="O74" s="91" t="s">
        <v>99</v>
      </c>
      <c r="P74" s="91" t="s">
        <v>98</v>
      </c>
      <c r="Q74" s="91" t="s">
        <v>99</v>
      </c>
    </row>
    <row r="75" spans="6:17" ht="35" thickTop="1" x14ac:dyDescent="0.2">
      <c r="F75" s="93"/>
      <c r="G75" s="93"/>
      <c r="H75" s="42" t="s">
        <v>100</v>
      </c>
      <c r="I75" s="70" t="s">
        <v>90</v>
      </c>
      <c r="J75" s="21"/>
      <c r="K75" s="21"/>
      <c r="L75" s="80"/>
      <c r="M75" s="77" t="s">
        <v>108</v>
      </c>
      <c r="N75" s="85"/>
      <c r="O75" s="82" t="s">
        <v>109</v>
      </c>
      <c r="P75" s="89"/>
      <c r="Q75" s="87" t="s">
        <v>110</v>
      </c>
    </row>
    <row r="76" spans="6:17" ht="51" x14ac:dyDescent="0.2">
      <c r="F76" s="93"/>
      <c r="G76" s="93"/>
      <c r="H76" s="44" t="s">
        <v>101</v>
      </c>
      <c r="I76" s="71" t="s">
        <v>91</v>
      </c>
      <c r="J76" s="21"/>
      <c r="K76" s="21"/>
      <c r="L76" s="104" t="s">
        <v>114</v>
      </c>
      <c r="M76" s="78"/>
      <c r="N76" s="85"/>
      <c r="O76" s="83"/>
      <c r="P76" s="90"/>
      <c r="Q76" s="87" t="s">
        <v>111</v>
      </c>
    </row>
    <row r="77" spans="6:17" ht="52" x14ac:dyDescent="0.25">
      <c r="F77" s="162" t="s">
        <v>120</v>
      </c>
      <c r="G77" s="163"/>
      <c r="H77" s="44" t="s">
        <v>102</v>
      </c>
      <c r="I77" s="71" t="s">
        <v>92</v>
      </c>
      <c r="J77" s="21"/>
      <c r="K77" s="21"/>
      <c r="L77" s="80" t="s">
        <v>115</v>
      </c>
      <c r="M77" s="78"/>
      <c r="N77" s="85"/>
      <c r="O77" s="83"/>
      <c r="P77" s="89" t="s">
        <v>111</v>
      </c>
      <c r="Q77" s="87" t="s">
        <v>116</v>
      </c>
    </row>
    <row r="78" spans="6:17" ht="52" thickBot="1" x14ac:dyDescent="0.25">
      <c r="H78" s="46" t="s">
        <v>103</v>
      </c>
      <c r="I78" s="72" t="s">
        <v>93</v>
      </c>
      <c r="J78" s="21"/>
      <c r="K78" s="21"/>
      <c r="L78" s="81"/>
      <c r="M78" s="79" t="s">
        <v>12</v>
      </c>
      <c r="N78" s="86" t="s">
        <v>113</v>
      </c>
      <c r="O78" s="84" t="s">
        <v>12</v>
      </c>
      <c r="P78" s="89" t="s">
        <v>112</v>
      </c>
      <c r="Q78" s="88" t="s">
        <v>12</v>
      </c>
    </row>
    <row r="79" spans="6:17" ht="17" thickTop="1" x14ac:dyDescent="0.2"/>
  </sheetData>
  <mergeCells count="87">
    <mergeCell ref="F77:G77"/>
    <mergeCell ref="P49:Q49"/>
    <mergeCell ref="A50:A53"/>
    <mergeCell ref="F58:G58"/>
    <mergeCell ref="F64:G64"/>
    <mergeCell ref="F70:G70"/>
    <mergeCell ref="L73:M73"/>
    <mergeCell ref="N73:O73"/>
    <mergeCell ref="P73:Q73"/>
    <mergeCell ref="N49:O49"/>
    <mergeCell ref="A45:A48"/>
    <mergeCell ref="C49:D49"/>
    <mergeCell ref="E49:F49"/>
    <mergeCell ref="G49:H49"/>
    <mergeCell ref="L49:M49"/>
    <mergeCell ref="P39:Q39"/>
    <mergeCell ref="A40:A43"/>
    <mergeCell ref="C44:D44"/>
    <mergeCell ref="E44:F44"/>
    <mergeCell ref="G44:H44"/>
    <mergeCell ref="L44:M44"/>
    <mergeCell ref="N44:O44"/>
    <mergeCell ref="P44:Q44"/>
    <mergeCell ref="N39:O39"/>
    <mergeCell ref="A35:A38"/>
    <mergeCell ref="C39:D39"/>
    <mergeCell ref="E39:F39"/>
    <mergeCell ref="G39:H39"/>
    <mergeCell ref="L39:M39"/>
    <mergeCell ref="P29:Q29"/>
    <mergeCell ref="A30:A33"/>
    <mergeCell ref="C34:D34"/>
    <mergeCell ref="E34:F34"/>
    <mergeCell ref="G34:H34"/>
    <mergeCell ref="L34:M34"/>
    <mergeCell ref="N34:O34"/>
    <mergeCell ref="P34:Q34"/>
    <mergeCell ref="N29:O29"/>
    <mergeCell ref="A25:A28"/>
    <mergeCell ref="C29:D29"/>
    <mergeCell ref="E29:F29"/>
    <mergeCell ref="G29:H29"/>
    <mergeCell ref="L29:M29"/>
    <mergeCell ref="P19:Q19"/>
    <mergeCell ref="A20:A23"/>
    <mergeCell ref="C24:D24"/>
    <mergeCell ref="E24:F24"/>
    <mergeCell ref="G24:H24"/>
    <mergeCell ref="L24:M24"/>
    <mergeCell ref="N24:O24"/>
    <mergeCell ref="P24:Q24"/>
    <mergeCell ref="N19:O19"/>
    <mergeCell ref="A15:A18"/>
    <mergeCell ref="C19:D19"/>
    <mergeCell ref="E19:F19"/>
    <mergeCell ref="G19:H19"/>
    <mergeCell ref="L19:M19"/>
    <mergeCell ref="P9:Q9"/>
    <mergeCell ref="A10:A13"/>
    <mergeCell ref="C14:D14"/>
    <mergeCell ref="E14:F14"/>
    <mergeCell ref="G14:H14"/>
    <mergeCell ref="L14:M14"/>
    <mergeCell ref="N14:O14"/>
    <mergeCell ref="P14:Q14"/>
    <mergeCell ref="N9:O9"/>
    <mergeCell ref="A5:A8"/>
    <mergeCell ref="C9:D9"/>
    <mergeCell ref="E9:F9"/>
    <mergeCell ref="G9:H9"/>
    <mergeCell ref="L9:M9"/>
    <mergeCell ref="P4:Q4"/>
    <mergeCell ref="A1:A3"/>
    <mergeCell ref="B1:B3"/>
    <mergeCell ref="C1:H1"/>
    <mergeCell ref="L1:Q1"/>
    <mergeCell ref="C2:D2"/>
    <mergeCell ref="E2:F2"/>
    <mergeCell ref="G2:H2"/>
    <mergeCell ref="L2:M2"/>
    <mergeCell ref="N2:O2"/>
    <mergeCell ref="P2:Q2"/>
    <mergeCell ref="C4:D4"/>
    <mergeCell ref="E4:F4"/>
    <mergeCell ref="G4:H4"/>
    <mergeCell ref="L4:M4"/>
    <mergeCell ref="N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3CF1D-CEC4-A24F-82DA-9B590AB7E547}">
  <dimension ref="A1:A7"/>
  <sheetViews>
    <sheetView workbookViewId="0">
      <selection activeCell="A5" sqref="A5"/>
    </sheetView>
  </sheetViews>
  <sheetFormatPr baseColWidth="10" defaultRowHeight="16" x14ac:dyDescent="0.2"/>
  <cols>
    <col min="1" max="1" width="86.1640625" customWidth="1"/>
  </cols>
  <sheetData>
    <row r="1" spans="1:1" ht="99" customHeight="1" x14ac:dyDescent="0.2">
      <c r="A1" s="1" t="s">
        <v>125</v>
      </c>
    </row>
    <row r="2" spans="1:1" ht="34" x14ac:dyDescent="0.2">
      <c r="A2" s="1" t="s">
        <v>126</v>
      </c>
    </row>
    <row r="3" spans="1:1" ht="51" x14ac:dyDescent="0.2">
      <c r="A3" s="1" t="s">
        <v>127</v>
      </c>
    </row>
    <row r="4" spans="1:1" ht="34" x14ac:dyDescent="0.2">
      <c r="A4" s="1" t="s">
        <v>154</v>
      </c>
    </row>
    <row r="7" spans="1:1" ht="17" x14ac:dyDescent="0.2">
      <c r="A7" s="1" t="s">
        <v>153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481D5-C8F4-4847-8F27-2084FEE96E16}">
  <dimension ref="A1:I38"/>
  <sheetViews>
    <sheetView topLeftCell="A24" zoomScale="84" zoomScaleNormal="150" workbookViewId="0">
      <selection activeCell="A37" sqref="A37"/>
    </sheetView>
  </sheetViews>
  <sheetFormatPr baseColWidth="10" defaultRowHeight="16" x14ac:dyDescent="0.2"/>
  <cols>
    <col min="1" max="1" width="8.33203125" customWidth="1"/>
    <col min="2" max="2" width="9.83203125" customWidth="1"/>
    <col min="3" max="3" width="37.5" style="12" customWidth="1"/>
    <col min="4" max="4" width="9" customWidth="1"/>
    <col min="5" max="5" width="13.83203125" style="135" customWidth="1"/>
    <col min="6" max="6" width="11.1640625" style="2" customWidth="1"/>
    <col min="7" max="7" width="22.33203125" customWidth="1"/>
    <col min="8" max="8" width="19.6640625" style="21" customWidth="1"/>
    <col min="9" max="9" width="21.6640625" style="8" customWidth="1"/>
  </cols>
  <sheetData>
    <row r="1" spans="1:9" s="194" customFormat="1" ht="61" customHeight="1" thickBot="1" x14ac:dyDescent="0.25">
      <c r="A1" s="191" t="s">
        <v>27</v>
      </c>
      <c r="B1" s="191" t="s">
        <v>155</v>
      </c>
      <c r="C1" s="192" t="s">
        <v>14</v>
      </c>
      <c r="D1" s="193" t="s">
        <v>24</v>
      </c>
      <c r="E1" s="195" t="s">
        <v>156</v>
      </c>
      <c r="F1" s="22" t="s">
        <v>157</v>
      </c>
      <c r="G1" s="22" t="s">
        <v>158</v>
      </c>
      <c r="H1" s="22" t="s">
        <v>159</v>
      </c>
      <c r="I1" s="22" t="s">
        <v>160</v>
      </c>
    </row>
    <row r="2" spans="1:9" ht="61" customHeight="1" x14ac:dyDescent="0.2">
      <c r="A2" s="168">
        <v>1</v>
      </c>
      <c r="B2" s="169" t="s">
        <v>0</v>
      </c>
      <c r="C2" s="106" t="s">
        <v>52</v>
      </c>
      <c r="D2" s="127"/>
      <c r="E2" s="134">
        <f>IF(D2="+", 1,0)</f>
        <v>0</v>
      </c>
      <c r="F2" s="171">
        <f>IF(SUM(E2:E4)=0,0,IF(SUM(E2:E4)=1,1,IF(SUM(E2:E4)=2,2,IF(SUM(E2:E4)=3,3,IF(SUM(E2:E4)=4,4)))))</f>
        <v>0</v>
      </c>
      <c r="G2" s="124"/>
      <c r="H2" s="21" t="str">
        <f t="shared" ref="H2:H33" si="0">IF(E2=0,"+","")</f>
        <v>+</v>
      </c>
    </row>
    <row r="3" spans="1:9" ht="60" customHeight="1" x14ac:dyDescent="0.2">
      <c r="A3" s="168"/>
      <c r="B3" s="170"/>
      <c r="C3" s="14" t="s">
        <v>131</v>
      </c>
      <c r="D3" s="128"/>
      <c r="E3" s="135">
        <f>IF(D3="+", 2,0)</f>
        <v>0</v>
      </c>
      <c r="F3" s="143"/>
      <c r="G3" s="125"/>
      <c r="H3" s="21" t="str">
        <f t="shared" si="0"/>
        <v>+</v>
      </c>
    </row>
    <row r="4" spans="1:9" ht="52" customHeight="1" thickBot="1" x14ac:dyDescent="0.25">
      <c r="A4" s="168"/>
      <c r="B4" s="170"/>
      <c r="C4" s="14" t="s">
        <v>132</v>
      </c>
      <c r="D4" s="129"/>
      <c r="E4" s="135">
        <f>IF(D4="+", 1,0)</f>
        <v>0</v>
      </c>
      <c r="F4" s="143"/>
      <c r="G4" s="125"/>
      <c r="H4" s="21" t="str">
        <f t="shared" si="0"/>
        <v>+</v>
      </c>
    </row>
    <row r="5" spans="1:9" ht="72" customHeight="1" x14ac:dyDescent="0.2">
      <c r="A5" s="168"/>
      <c r="B5" s="169" t="s">
        <v>1</v>
      </c>
      <c r="C5" s="106" t="s">
        <v>133</v>
      </c>
      <c r="D5" s="127"/>
      <c r="E5" s="134">
        <f>IF(D5="+", 1,0)</f>
        <v>0</v>
      </c>
      <c r="F5" s="173">
        <f>IF(SUM(E5:E7)=0,0,IF(SUM(E5:E7)=1,1,IF(SUM(E5:E7)&lt;=3,2,IF(SUM(E5:E7)&lt;=5,3,IF(SUM(E5:E7)=6,4)))))</f>
        <v>0</v>
      </c>
      <c r="G5" s="124"/>
      <c r="H5" s="21" t="str">
        <f t="shared" si="0"/>
        <v>+</v>
      </c>
    </row>
    <row r="6" spans="1:9" ht="46" customHeight="1" x14ac:dyDescent="0.2">
      <c r="A6" s="168"/>
      <c r="B6" s="170"/>
      <c r="C6" s="14" t="s">
        <v>134</v>
      </c>
      <c r="D6" s="128"/>
      <c r="E6" s="136">
        <f>IF(D6="+", 2,0)</f>
        <v>0</v>
      </c>
      <c r="F6" s="174"/>
      <c r="G6" s="125"/>
      <c r="H6" s="21" t="str">
        <f t="shared" si="0"/>
        <v>+</v>
      </c>
    </row>
    <row r="7" spans="1:9" ht="104" customHeight="1" thickBot="1" x14ac:dyDescent="0.25">
      <c r="A7" s="168"/>
      <c r="B7" s="172"/>
      <c r="C7" s="109" t="s">
        <v>136</v>
      </c>
      <c r="D7" s="130"/>
      <c r="E7" s="137">
        <f>IF(D7="+", 3,0)</f>
        <v>0</v>
      </c>
      <c r="F7" s="175"/>
      <c r="G7" s="126"/>
      <c r="H7" s="21" t="str">
        <f>IF(E7=0,"+","")</f>
        <v>+</v>
      </c>
    </row>
    <row r="8" spans="1:9" ht="82" customHeight="1" x14ac:dyDescent="0.2">
      <c r="A8" s="168"/>
      <c r="B8" s="169" t="s">
        <v>2</v>
      </c>
      <c r="C8" s="106" t="s">
        <v>50</v>
      </c>
      <c r="D8" s="127"/>
      <c r="E8" s="134">
        <f>IF(D8="+", 2,0)</f>
        <v>0</v>
      </c>
      <c r="F8" s="171">
        <f>IF(SUM(E8:E12)=0,0,IF(SUM(E8:E12)&lt;=2,1,IF(SUM(E8:E12)&lt;=4,2,IF(SUM(E8:E12)&lt;=6,3,IF(SUM(E8:E12)=7,4)))))</f>
        <v>0</v>
      </c>
      <c r="G8" s="124"/>
      <c r="H8" s="21" t="str">
        <f t="shared" si="0"/>
        <v>+</v>
      </c>
    </row>
    <row r="9" spans="1:9" ht="105" customHeight="1" x14ac:dyDescent="0.2">
      <c r="A9" s="168"/>
      <c r="B9" s="170"/>
      <c r="C9" s="14" t="s">
        <v>135</v>
      </c>
      <c r="D9" s="128"/>
      <c r="E9" s="136">
        <f>IF(D9="+", 2,0)</f>
        <v>0</v>
      </c>
      <c r="F9" s="143"/>
      <c r="G9" s="125"/>
      <c r="H9" s="21" t="str">
        <f>IF(E9=0,"+","")</f>
        <v>+</v>
      </c>
    </row>
    <row r="10" spans="1:9" ht="109" customHeight="1" x14ac:dyDescent="0.2">
      <c r="A10" s="168"/>
      <c r="B10" s="170"/>
      <c r="C10" s="14" t="s">
        <v>137</v>
      </c>
      <c r="D10" s="128"/>
      <c r="E10" s="136">
        <f>IF(D10="+", 1,0)</f>
        <v>0</v>
      </c>
      <c r="F10" s="143"/>
      <c r="G10" s="125"/>
      <c r="H10" s="21" t="str">
        <f t="shared" si="0"/>
        <v>+</v>
      </c>
    </row>
    <row r="11" spans="1:9" ht="144" customHeight="1" x14ac:dyDescent="0.2">
      <c r="A11" s="168"/>
      <c r="B11" s="170"/>
      <c r="C11" s="14" t="s">
        <v>138</v>
      </c>
      <c r="D11" s="128"/>
      <c r="E11" s="136">
        <f>IF(D11="+", 1,0)</f>
        <v>0</v>
      </c>
      <c r="F11" s="143"/>
      <c r="G11" s="125"/>
      <c r="H11" s="21" t="str">
        <f t="shared" si="0"/>
        <v>+</v>
      </c>
    </row>
    <row r="12" spans="1:9" ht="68" customHeight="1" thickBot="1" x14ac:dyDescent="0.25">
      <c r="A12" s="168"/>
      <c r="B12" s="172"/>
      <c r="C12" s="109" t="s">
        <v>139</v>
      </c>
      <c r="D12" s="130"/>
      <c r="E12" s="137">
        <f>IF(D12="+", 1,0)</f>
        <v>0</v>
      </c>
      <c r="F12" s="176"/>
      <c r="G12" s="126"/>
      <c r="H12" s="21" t="str">
        <f t="shared" si="0"/>
        <v>+</v>
      </c>
    </row>
    <row r="13" spans="1:9" ht="43" customHeight="1" thickBot="1" x14ac:dyDescent="0.25">
      <c r="A13" s="177">
        <v>2</v>
      </c>
      <c r="B13" s="3" t="s">
        <v>3</v>
      </c>
      <c r="C13" s="14"/>
      <c r="F13" s="10">
        <f>IF(AVERAGE(F2:F12)&lt;=0.8,0,IF(AVERAGE(F2:F12)&lt;=1.6,1,IF(AVERAGE(F2:F12)&lt;=2.4,2,IF(AVERAGE(F2:F12)&lt;=3.2,3,IF(AVERAGE(F2:F12)&lt;=4,4)))))</f>
        <v>0</v>
      </c>
      <c r="G13" t="str">
        <f>IF(F13=0,"не реализуется",IF(F13=1,"низкий",IF(F13=2,"средний",IF(F13=3,"выше среднего",IF(F13=4,"высокий")))))</f>
        <v>не реализуется</v>
      </c>
      <c r="I13" s="8" t="str">
        <f>IF(F13&lt;4,"+","в рекомендациях не нуждается")</f>
        <v>+</v>
      </c>
    </row>
    <row r="14" spans="1:9" ht="59" customHeight="1" x14ac:dyDescent="0.2">
      <c r="A14" s="177"/>
      <c r="B14" s="178" t="s">
        <v>4</v>
      </c>
      <c r="C14" s="106" t="s">
        <v>140</v>
      </c>
      <c r="D14" s="127"/>
      <c r="E14" s="134">
        <f>IF(D14="+", 2,0)</f>
        <v>0</v>
      </c>
      <c r="F14" s="171">
        <f>IF(SUM(E14:E15)=0,0,IF(SUM(E14:E15)=2,2,IF(SUM(E14:E15)=4,4)))</f>
        <v>0</v>
      </c>
      <c r="G14" s="124"/>
      <c r="H14" s="21" t="str">
        <f t="shared" si="0"/>
        <v>+</v>
      </c>
    </row>
    <row r="15" spans="1:9" ht="51" customHeight="1" thickBot="1" x14ac:dyDescent="0.25">
      <c r="A15" s="177"/>
      <c r="B15" s="179"/>
      <c r="C15" s="109" t="s">
        <v>141</v>
      </c>
      <c r="D15" s="130"/>
      <c r="E15" s="137">
        <f>IF(D15="+", 2,0)</f>
        <v>0</v>
      </c>
      <c r="F15" s="176"/>
      <c r="G15" s="126"/>
      <c r="H15" s="21" t="str">
        <f t="shared" si="0"/>
        <v>+</v>
      </c>
    </row>
    <row r="16" spans="1:9" ht="25" thickBot="1" x14ac:dyDescent="0.25">
      <c r="A16" s="168">
        <v>3</v>
      </c>
      <c r="B16" s="3" t="s">
        <v>6</v>
      </c>
      <c r="C16" s="14"/>
      <c r="F16" s="10">
        <f>IF(AVERAGE(F13:F15)&lt;=0.8,0,IF(AVERAGE(F13:F15)&lt;=1.6,1,IF(AVERAGE(F13:F15)&lt;=2.4,2,IF(AVERAGE(F13:F15)&lt;=3.2,3,IF(AVERAGE(F13:F15)&lt;=4,4)))))</f>
        <v>0</v>
      </c>
      <c r="G16" t="str">
        <f>IF(F16=0,"не реализуется",IF(F16=1,"низкий",IF(F16=2,"средний",IF(F16=3,"выше среднего",IF(F16=4,"высокий")))))</f>
        <v>не реализуется</v>
      </c>
      <c r="I16" s="8" t="str">
        <f>IF(F16&lt;4,"+","в рекомендациях не нуждается")</f>
        <v>+</v>
      </c>
    </row>
    <row r="17" spans="1:9" ht="94" customHeight="1" x14ac:dyDescent="0.2">
      <c r="A17" s="168"/>
      <c r="B17" s="169" t="s">
        <v>7</v>
      </c>
      <c r="C17" s="106" t="s">
        <v>142</v>
      </c>
      <c r="D17" s="127"/>
      <c r="E17" s="134">
        <f>IF(D17="+", 1,0)</f>
        <v>0</v>
      </c>
      <c r="F17" s="171">
        <f>IF(SUM(E17:E20)=0,0,IF(SUM(E17:E20)=1,1,IF(SUM(E17:E20)&lt;=5,2,IF(SUM(E17:E20)&lt;=7,3,IF(SUM(E17:E20)&gt;=8,4)))))</f>
        <v>0</v>
      </c>
      <c r="G17" s="124"/>
      <c r="H17" s="21" t="str">
        <f t="shared" si="0"/>
        <v>+</v>
      </c>
    </row>
    <row r="18" spans="1:9" ht="103" customHeight="1" x14ac:dyDescent="0.2">
      <c r="A18" s="168"/>
      <c r="B18" s="170"/>
      <c r="C18" s="14" t="s">
        <v>143</v>
      </c>
      <c r="D18" s="128"/>
      <c r="E18" s="136">
        <f>IF(D18="+", 2,0)</f>
        <v>0</v>
      </c>
      <c r="F18" s="143"/>
      <c r="G18" s="125"/>
      <c r="H18" s="21" t="str">
        <f t="shared" si="0"/>
        <v>+</v>
      </c>
    </row>
    <row r="19" spans="1:9" ht="82" customHeight="1" x14ac:dyDescent="0.2">
      <c r="A19" s="168"/>
      <c r="B19" s="170"/>
      <c r="C19" s="14" t="s">
        <v>144</v>
      </c>
      <c r="D19" s="128"/>
      <c r="E19" s="136">
        <f>IF(D19="+", 3,0)</f>
        <v>0</v>
      </c>
      <c r="F19" s="143"/>
      <c r="G19" s="125"/>
      <c r="H19" s="21" t="str">
        <f t="shared" si="0"/>
        <v>+</v>
      </c>
    </row>
    <row r="20" spans="1:9" ht="30" customHeight="1" thickBot="1" x14ac:dyDescent="0.25">
      <c r="A20" s="168"/>
      <c r="B20" s="172"/>
      <c r="C20" s="109" t="s">
        <v>58</v>
      </c>
      <c r="D20" s="130"/>
      <c r="E20" s="137">
        <f>IF(D20="+", 4,0)</f>
        <v>0</v>
      </c>
      <c r="F20" s="176"/>
      <c r="G20" s="126"/>
      <c r="H20" s="21" t="str">
        <f t="shared" si="0"/>
        <v>+</v>
      </c>
    </row>
    <row r="21" spans="1:9" ht="98" customHeight="1" x14ac:dyDescent="0.2">
      <c r="A21" s="168"/>
      <c r="B21" s="169" t="s">
        <v>8</v>
      </c>
      <c r="C21" s="116" t="s">
        <v>59</v>
      </c>
      <c r="D21" s="131"/>
      <c r="E21" s="134">
        <f>IF(D21="+", 0,0)</f>
        <v>0</v>
      </c>
      <c r="F21" s="171">
        <f>IF(SUM(E21:E23)=0,0,IF(SUM(E21:E23)=1,2,IF(SUM(E21:E23)=2,4)))</f>
        <v>0</v>
      </c>
      <c r="G21" s="124"/>
      <c r="H21" s="21" t="str">
        <f t="shared" si="0"/>
        <v>+</v>
      </c>
    </row>
    <row r="22" spans="1:9" ht="95" customHeight="1" x14ac:dyDescent="0.2">
      <c r="A22" s="168"/>
      <c r="B22" s="170"/>
      <c r="C22" s="17" t="s">
        <v>60</v>
      </c>
      <c r="D22" s="132"/>
      <c r="E22" s="135">
        <f>IF(D22="+", 1,0)</f>
        <v>0</v>
      </c>
      <c r="F22" s="143"/>
      <c r="G22" s="125"/>
      <c r="H22" s="21" t="str">
        <f t="shared" si="0"/>
        <v>+</v>
      </c>
    </row>
    <row r="23" spans="1:9" ht="65" customHeight="1" thickBot="1" x14ac:dyDescent="0.25">
      <c r="A23" s="168"/>
      <c r="B23" s="172"/>
      <c r="C23" s="119" t="s">
        <v>61</v>
      </c>
      <c r="D23" s="133"/>
      <c r="E23" s="138">
        <f>IF(D23="+", 2,0)</f>
        <v>0</v>
      </c>
      <c r="F23" s="176"/>
      <c r="G23" s="126"/>
      <c r="H23" s="21" t="str">
        <f t="shared" si="0"/>
        <v>+</v>
      </c>
    </row>
    <row r="24" spans="1:9" ht="41" customHeight="1" thickBot="1" x14ac:dyDescent="0.35">
      <c r="A24" s="168">
        <v>4</v>
      </c>
      <c r="B24" s="5" t="s">
        <v>9</v>
      </c>
      <c r="C24" s="14"/>
      <c r="F24" s="10">
        <f>IF(AVERAGE(F16:F23)&lt;=0.8,0,IF(AVERAGE(F16:F23)&lt;=1.6,1,IF(AVERAGE(F16:F23)&lt;=2.4,2,IF(AVERAGE(F16:F23)&lt;=3.2,3,IF(AVERAGE(F16:F23)&lt;=4,4)))))</f>
        <v>0</v>
      </c>
      <c r="G24" t="str">
        <f>IF(F24=0,"не реализуется",IF(F24=1,"низкий",IF(F24=2,"средний",IF(F24=3,"выше среднего",IF(F24=4,"высокий")))))</f>
        <v>не реализуется</v>
      </c>
      <c r="I24" s="8" t="str">
        <f>IF(F24&lt;4,"+","в рекомендациях не нуждается")</f>
        <v>+</v>
      </c>
    </row>
    <row r="25" spans="1:9" ht="68" customHeight="1" x14ac:dyDescent="0.2">
      <c r="A25" s="168"/>
      <c r="B25" s="169" t="s">
        <v>10</v>
      </c>
      <c r="C25" s="116" t="s">
        <v>145</v>
      </c>
      <c r="D25" s="131"/>
      <c r="E25" s="134">
        <f>IF(D25="+", 0,0)</f>
        <v>0</v>
      </c>
      <c r="F25" s="171">
        <f>IF(SUM(E25:E28)=0,0,IF(SUM(E25:E28)=1,1,IF(SUM(E25:E28)=2,3,IF(SUM(E25:E28)=3,4))))</f>
        <v>0</v>
      </c>
      <c r="G25" s="124"/>
      <c r="H25" s="21" t="str">
        <f t="shared" si="0"/>
        <v>+</v>
      </c>
    </row>
    <row r="26" spans="1:9" ht="43" customHeight="1" x14ac:dyDescent="0.2">
      <c r="A26" s="168"/>
      <c r="B26" s="170"/>
      <c r="C26" s="17" t="s">
        <v>62</v>
      </c>
      <c r="D26" s="132"/>
      <c r="E26" s="135">
        <f>IF(D26="+", 1,0)</f>
        <v>0</v>
      </c>
      <c r="F26" s="143"/>
      <c r="G26" s="125"/>
      <c r="H26" s="21" t="str">
        <f t="shared" si="0"/>
        <v>+</v>
      </c>
    </row>
    <row r="27" spans="1:9" ht="33" customHeight="1" x14ac:dyDescent="0.2">
      <c r="A27" s="168"/>
      <c r="B27" s="170"/>
      <c r="C27" s="17" t="s">
        <v>146</v>
      </c>
      <c r="D27" s="132"/>
      <c r="E27" s="135">
        <f>IF(D27="+", 2,0)</f>
        <v>0</v>
      </c>
      <c r="F27" s="143"/>
      <c r="G27" s="125"/>
      <c r="H27" s="21" t="str">
        <f t="shared" si="0"/>
        <v>+</v>
      </c>
    </row>
    <row r="28" spans="1:9" ht="79" customHeight="1" thickBot="1" x14ac:dyDescent="0.25">
      <c r="A28" s="168"/>
      <c r="B28" s="172"/>
      <c r="C28" s="119" t="s">
        <v>147</v>
      </c>
      <c r="D28" s="133"/>
      <c r="E28" s="138">
        <f>IF(D28="+", 3,0)</f>
        <v>0</v>
      </c>
      <c r="F28" s="176"/>
      <c r="G28" s="126"/>
      <c r="H28" s="21" t="str">
        <f t="shared" si="0"/>
        <v>+</v>
      </c>
    </row>
    <row r="29" spans="1:9" ht="113" customHeight="1" x14ac:dyDescent="0.2">
      <c r="A29" s="168"/>
      <c r="B29" s="169" t="s">
        <v>11</v>
      </c>
      <c r="C29" s="116" t="s">
        <v>148</v>
      </c>
      <c r="D29" s="131"/>
      <c r="E29" s="134">
        <f>IF(D29="+", 0,0)</f>
        <v>0</v>
      </c>
      <c r="F29" s="171">
        <f>IF(SUM(E29:E33)=0,0,IF(SUM(E29:E33)=1,1,IF(SUM(E29:E33)=2,2,IF(SUM(E29:E33)=3,3,IF(SUM(E29:E33)&lt;=20,4)))))</f>
        <v>0</v>
      </c>
      <c r="G29" s="124"/>
      <c r="H29" s="21" t="str">
        <f t="shared" si="0"/>
        <v>+</v>
      </c>
    </row>
    <row r="30" spans="1:9" ht="48" customHeight="1" x14ac:dyDescent="0.2">
      <c r="A30" s="168"/>
      <c r="B30" s="170"/>
      <c r="C30" s="17" t="s">
        <v>149</v>
      </c>
      <c r="D30" s="132"/>
      <c r="E30" s="135">
        <f>IF(D30="+", 1,0)</f>
        <v>0</v>
      </c>
      <c r="F30" s="143"/>
      <c r="G30" s="125"/>
      <c r="H30" s="21" t="str">
        <f t="shared" si="0"/>
        <v>+</v>
      </c>
    </row>
    <row r="31" spans="1:9" ht="41" customHeight="1" x14ac:dyDescent="0.2">
      <c r="A31" s="168"/>
      <c r="B31" s="170"/>
      <c r="C31" s="17" t="s">
        <v>150</v>
      </c>
      <c r="D31" s="132"/>
      <c r="E31" s="135">
        <f>IF(D31="+", 2,0)</f>
        <v>0</v>
      </c>
      <c r="F31" s="143"/>
      <c r="G31" s="125"/>
      <c r="H31" s="21" t="str">
        <f t="shared" si="0"/>
        <v>+</v>
      </c>
    </row>
    <row r="32" spans="1:9" ht="36" customHeight="1" x14ac:dyDescent="0.2">
      <c r="A32" s="168"/>
      <c r="B32" s="170"/>
      <c r="C32" s="17" t="s">
        <v>151</v>
      </c>
      <c r="D32" s="132"/>
      <c r="E32" s="135">
        <f>IF(D32="+", 3,0)</f>
        <v>0</v>
      </c>
      <c r="F32" s="143"/>
      <c r="G32" s="125"/>
      <c r="H32" s="21" t="str">
        <f t="shared" si="0"/>
        <v>+</v>
      </c>
    </row>
    <row r="33" spans="1:9" ht="34" customHeight="1" thickBot="1" x14ac:dyDescent="0.25">
      <c r="A33" s="168"/>
      <c r="B33" s="172"/>
      <c r="C33" s="119" t="s">
        <v>152</v>
      </c>
      <c r="D33" s="133"/>
      <c r="E33" s="138">
        <f>IF(D33="+", 4,0)</f>
        <v>0</v>
      </c>
      <c r="F33" s="176"/>
      <c r="G33" s="126"/>
      <c r="H33" s="21" t="str">
        <f t="shared" si="0"/>
        <v>+</v>
      </c>
    </row>
    <row r="34" spans="1:9" ht="39" customHeight="1" x14ac:dyDescent="0.2">
      <c r="F34" s="10">
        <f>IF(AVERAGE(F24:F33)&lt;=0.8,0,IF(AVERAGE(F24:F33)&lt;=1.6,1,IF(AVERAGE(F24:F33)&lt;=2.4,2,IF(AVERAGE(F24:F33)&lt;=3.2,3,IF(AVERAGE(F24:F33)&lt;=10,4)))))</f>
        <v>0</v>
      </c>
      <c r="G34" t="str">
        <f>IF(F34=0,"не реализуется",IF(F34=1,"низкий",IF(F34=2,"средний",IF(F34=3,"выше среднего",IF(F34=4,"высокий")))))</f>
        <v>не реализуется</v>
      </c>
      <c r="I34" s="8" t="str">
        <f>IF(F34&lt;4,"+","в рекомендациях не нуждается")</f>
        <v>+</v>
      </c>
    </row>
    <row r="36" spans="1:9" x14ac:dyDescent="0.2">
      <c r="A36" s="197"/>
      <c r="B36" t="s">
        <v>130</v>
      </c>
    </row>
    <row r="37" spans="1:9" x14ac:dyDescent="0.2">
      <c r="A37" s="204"/>
      <c r="B37" t="s">
        <v>129</v>
      </c>
    </row>
    <row r="38" spans="1:9" x14ac:dyDescent="0.2">
      <c r="A38" s="7"/>
      <c r="B38" t="s">
        <v>128</v>
      </c>
    </row>
  </sheetData>
  <mergeCells count="20">
    <mergeCell ref="A24:A33"/>
    <mergeCell ref="B25:B28"/>
    <mergeCell ref="F25:F28"/>
    <mergeCell ref="B29:B33"/>
    <mergeCell ref="F29:F33"/>
    <mergeCell ref="A13:A15"/>
    <mergeCell ref="B14:B15"/>
    <mergeCell ref="F14:F15"/>
    <mergeCell ref="A16:A23"/>
    <mergeCell ref="B17:B20"/>
    <mergeCell ref="F17:F20"/>
    <mergeCell ref="B21:B23"/>
    <mergeCell ref="F21:F23"/>
    <mergeCell ref="A2:A12"/>
    <mergeCell ref="B2:B4"/>
    <mergeCell ref="F2:F4"/>
    <mergeCell ref="B5:B7"/>
    <mergeCell ref="F5:F7"/>
    <mergeCell ref="B8:B12"/>
    <mergeCell ref="F8:F12"/>
  </mergeCells>
  <conditionalFormatting sqref="E2:E33">
    <cfRule type="cellIs" dxfId="3" priority="5" operator="equal">
      <formula>0</formula>
    </cfRule>
  </conditionalFormatting>
  <conditionalFormatting sqref="I1:I1048576">
    <cfRule type="cellIs" dxfId="2" priority="2" operator="equal">
      <formula>"+"</formula>
    </cfRule>
  </conditionalFormatting>
  <pageMargins left="0.7" right="0.7" top="0.75" bottom="0.75" header="0.3" footer="0.3"/>
  <pageSetup paperSize="9" fitToWidth="0" fitToHeight="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BB58A-0870-2949-9EB4-D021DD107FE3}">
  <dimension ref="A1:K45"/>
  <sheetViews>
    <sheetView tabSelected="1" topLeftCell="A25" zoomScale="75" zoomScaleNormal="150" workbookViewId="0">
      <selection activeCell="M25" sqref="M25"/>
    </sheetView>
  </sheetViews>
  <sheetFormatPr baseColWidth="10" defaultRowHeight="16" x14ac:dyDescent="0.2"/>
  <cols>
    <col min="1" max="1" width="8.33203125" customWidth="1"/>
    <col min="2" max="2" width="11.33203125" customWidth="1"/>
    <col min="3" max="3" width="37.5" style="12" customWidth="1"/>
    <col min="4" max="4" width="11.5" customWidth="1"/>
    <col min="5" max="5" width="31" style="13" customWidth="1"/>
    <col min="6" max="6" width="11.83203125" customWidth="1"/>
    <col min="7" max="7" width="13.83203125" style="6" customWidth="1"/>
    <col min="8" max="8" width="21.1640625" style="2" customWidth="1"/>
    <col min="9" max="9" width="22.33203125" customWidth="1"/>
    <col min="10" max="10" width="19.6640625" style="21" customWidth="1"/>
    <col min="11" max="11" width="20" style="2" customWidth="1"/>
  </cols>
  <sheetData>
    <row r="1" spans="1:11" s="196" customFormat="1" ht="53" customHeight="1" thickBot="1" x14ac:dyDescent="0.25">
      <c r="A1" s="191" t="s">
        <v>27</v>
      </c>
      <c r="B1" s="191" t="s">
        <v>155</v>
      </c>
      <c r="C1" s="192" t="s">
        <v>14</v>
      </c>
      <c r="D1" s="193" t="s">
        <v>24</v>
      </c>
      <c r="E1" s="192" t="s">
        <v>13</v>
      </c>
      <c r="F1" s="193" t="s">
        <v>24</v>
      </c>
      <c r="G1" s="195" t="s">
        <v>156</v>
      </c>
      <c r="H1" s="191" t="s">
        <v>157</v>
      </c>
      <c r="I1" s="191" t="s">
        <v>158</v>
      </c>
      <c r="J1" s="9" t="s">
        <v>159</v>
      </c>
      <c r="K1" s="9" t="s">
        <v>160</v>
      </c>
    </row>
    <row r="2" spans="1:11" ht="58" customHeight="1" x14ac:dyDescent="0.2">
      <c r="A2" s="168">
        <v>1</v>
      </c>
      <c r="B2" s="169" t="s">
        <v>0</v>
      </c>
      <c r="C2" s="106"/>
      <c r="D2" s="107"/>
      <c r="E2" s="108" t="s">
        <v>15</v>
      </c>
      <c r="F2" s="187"/>
      <c r="G2" s="122">
        <f>IF(F2="+", 1,0)</f>
        <v>0</v>
      </c>
      <c r="H2" s="171">
        <f>IF(SUM(G2:G5)=0,0,IF(SUM(G2:G5)=1,1,IF(SUM(G2:G5)=2,2,IF(SUM(G2:G5)=3,3,IF(SUM(G2:G5)=4,4)))))</f>
        <v>0</v>
      </c>
      <c r="I2" s="124"/>
      <c r="J2" s="21" t="str">
        <f>IF(G2=0,"+","")</f>
        <v>+</v>
      </c>
    </row>
    <row r="3" spans="1:11" ht="61" customHeight="1" x14ac:dyDescent="0.2">
      <c r="A3" s="168"/>
      <c r="B3" s="170"/>
      <c r="C3" s="14" t="s">
        <v>52</v>
      </c>
      <c r="D3" s="15"/>
      <c r="E3" s="19"/>
      <c r="F3" s="11"/>
      <c r="G3" s="6">
        <f>IF(D3="+", 1,0)</f>
        <v>0</v>
      </c>
      <c r="H3" s="143"/>
      <c r="I3" s="125"/>
      <c r="J3" s="21" t="str">
        <f t="shared" ref="J3:J40" si="0">IF(G3=0,"+","")</f>
        <v>+</v>
      </c>
    </row>
    <row r="4" spans="1:11" ht="60" customHeight="1" x14ac:dyDescent="0.2">
      <c r="A4" s="168"/>
      <c r="B4" s="170"/>
      <c r="C4" s="14"/>
      <c r="D4" s="16"/>
      <c r="E4" s="20" t="s">
        <v>23</v>
      </c>
      <c r="F4" s="188"/>
      <c r="G4" s="6">
        <f>IF(F4="+", 1,0)</f>
        <v>0</v>
      </c>
      <c r="H4" s="143"/>
      <c r="I4" s="125"/>
      <c r="J4" s="21" t="str">
        <f t="shared" si="0"/>
        <v>+</v>
      </c>
    </row>
    <row r="5" spans="1:11" ht="52" customHeight="1" thickBot="1" x14ac:dyDescent="0.25">
      <c r="A5" s="168"/>
      <c r="B5" s="172"/>
      <c r="C5" s="109"/>
      <c r="D5" s="110"/>
      <c r="E5" s="111" t="s">
        <v>121</v>
      </c>
      <c r="F5" s="189"/>
      <c r="G5" s="123">
        <f>IF(F5="+", 1,0)</f>
        <v>0</v>
      </c>
      <c r="H5" s="176"/>
      <c r="I5" s="126"/>
      <c r="J5" s="21" t="str">
        <f t="shared" si="0"/>
        <v>+</v>
      </c>
    </row>
    <row r="6" spans="1:11" ht="72" customHeight="1" x14ac:dyDescent="0.2">
      <c r="A6" s="168"/>
      <c r="B6" s="169" t="s">
        <v>1</v>
      </c>
      <c r="C6" s="106"/>
      <c r="D6" s="112"/>
      <c r="E6" s="113" t="s">
        <v>31</v>
      </c>
      <c r="F6" s="190"/>
      <c r="G6" s="122">
        <f>IF(F6="+", 1,0)</f>
        <v>0</v>
      </c>
      <c r="H6" s="171">
        <f>IF(SUM(G6:G8)=0,0,IF(SUM(G6:G8)=1,1,IF(SUM(G6:G8)&lt;=3,2,IF(SUM(G6:G8)&lt;=5,3,IF(SUM(G6:G8)=6,4)))))</f>
        <v>0</v>
      </c>
      <c r="I6" s="124"/>
      <c r="J6" s="21" t="str">
        <f t="shared" si="0"/>
        <v>+</v>
      </c>
    </row>
    <row r="7" spans="1:11" ht="46" customHeight="1" x14ac:dyDescent="0.2">
      <c r="A7" s="168"/>
      <c r="B7" s="170"/>
      <c r="C7" s="14"/>
      <c r="D7" s="16"/>
      <c r="E7" s="20" t="s">
        <v>16</v>
      </c>
      <c r="F7" s="188"/>
      <c r="G7" s="6">
        <f>IF(G6=0, 0, IF(OR(F7="+"), 2,0))</f>
        <v>0</v>
      </c>
      <c r="H7" s="143"/>
      <c r="I7" s="125"/>
      <c r="J7" s="21" t="str">
        <f t="shared" si="0"/>
        <v>+</v>
      </c>
    </row>
    <row r="8" spans="1:11" ht="104" customHeight="1" thickBot="1" x14ac:dyDescent="0.25">
      <c r="A8" s="168"/>
      <c r="B8" s="172"/>
      <c r="C8" s="109" t="s">
        <v>51</v>
      </c>
      <c r="D8" s="198"/>
      <c r="E8" s="114"/>
      <c r="F8" s="201"/>
      <c r="G8" s="123">
        <f>IF(G6=0, 0, IF(OR(F8="+"), 3,0))</f>
        <v>0</v>
      </c>
      <c r="H8" s="176"/>
      <c r="I8" s="126"/>
      <c r="J8" s="21" t="str">
        <f>IF(G8=0,"+","")</f>
        <v>+</v>
      </c>
    </row>
    <row r="9" spans="1:11" ht="82" customHeight="1" x14ac:dyDescent="0.2">
      <c r="A9" s="168"/>
      <c r="B9" s="169" t="s">
        <v>2</v>
      </c>
      <c r="C9" s="106" t="s">
        <v>50</v>
      </c>
      <c r="D9" s="199"/>
      <c r="E9" s="115"/>
      <c r="F9" s="202"/>
      <c r="G9" s="122">
        <f>IF(OR(F9="+",D9="+" ),2,0)</f>
        <v>0</v>
      </c>
      <c r="H9" s="171">
        <f>IF(SUM(G9:G13)=0,0,IF(SUM(G9:G13)&lt;=2,1,IF(SUM(G9:G13)&lt;=4,2,IF(SUM(G9:G13)&lt;=6,3,IF(SUM(G9:G13)=7,4)))))</f>
        <v>0</v>
      </c>
      <c r="I9" s="124"/>
      <c r="J9" s="21" t="str">
        <f t="shared" si="0"/>
        <v>+</v>
      </c>
    </row>
    <row r="10" spans="1:11" ht="105" customHeight="1" x14ac:dyDescent="0.2">
      <c r="A10" s="168"/>
      <c r="B10" s="170"/>
      <c r="C10" s="14" t="s">
        <v>49</v>
      </c>
      <c r="D10" s="200"/>
      <c r="E10" s="19"/>
      <c r="F10" s="203"/>
      <c r="G10" s="139">
        <f>IF(G9=0,0,IF(OR(F10="+",D10="+"),2,0))</f>
        <v>0</v>
      </c>
      <c r="H10" s="143"/>
      <c r="I10" s="125"/>
      <c r="J10" s="21" t="str">
        <f>IF(G10=0,"+","")</f>
        <v>+</v>
      </c>
    </row>
    <row r="11" spans="1:11" ht="109" customHeight="1" x14ac:dyDescent="0.2">
      <c r="A11" s="168"/>
      <c r="B11" s="170"/>
      <c r="C11" s="14" t="s">
        <v>48</v>
      </c>
      <c r="D11" s="200"/>
      <c r="E11" s="19"/>
      <c r="F11" s="203"/>
      <c r="G11" s="6">
        <f>IF(G10=0,0,IF(OR(F11="+",D11="+"),1,0))</f>
        <v>0</v>
      </c>
      <c r="H11" s="143"/>
      <c r="I11" s="125"/>
      <c r="J11" s="21" t="str">
        <f t="shared" si="0"/>
        <v>+</v>
      </c>
    </row>
    <row r="12" spans="1:11" ht="144" customHeight="1" x14ac:dyDescent="0.2">
      <c r="A12" s="168"/>
      <c r="B12" s="170"/>
      <c r="C12" s="14" t="s">
        <v>79</v>
      </c>
      <c r="D12" s="200"/>
      <c r="E12" s="19"/>
      <c r="F12" s="203"/>
      <c r="G12" s="6">
        <f>IF(G10=0,0,IF(OR(F12="+",D12="+"),1,0))</f>
        <v>0</v>
      </c>
      <c r="H12" s="143"/>
      <c r="I12" s="125"/>
      <c r="J12" s="21" t="str">
        <f t="shared" si="0"/>
        <v>+</v>
      </c>
    </row>
    <row r="13" spans="1:11" ht="68" customHeight="1" thickBot="1" x14ac:dyDescent="0.25">
      <c r="A13" s="168"/>
      <c r="B13" s="172"/>
      <c r="C13" s="109" t="s">
        <v>53</v>
      </c>
      <c r="D13" s="198"/>
      <c r="E13" s="114"/>
      <c r="F13" s="201"/>
      <c r="G13" s="123">
        <f>IF(G10=0,0,IF(OR(F13="+",D13="+"),1,0))</f>
        <v>0</v>
      </c>
      <c r="H13" s="176"/>
      <c r="I13" s="126"/>
      <c r="J13" s="21" t="str">
        <f t="shared" si="0"/>
        <v>+</v>
      </c>
    </row>
    <row r="14" spans="1:11" ht="37" customHeight="1" thickBot="1" x14ac:dyDescent="0.25">
      <c r="A14" s="168">
        <v>2</v>
      </c>
      <c r="B14" s="3" t="s">
        <v>3</v>
      </c>
      <c r="C14" s="14"/>
      <c r="D14" s="16"/>
      <c r="E14" s="19"/>
      <c r="H14" s="10">
        <f>IF(AVERAGE(H2:H13)&lt;=0.8,0,IF(AVERAGE(H2:H13)&lt;=1.6,1,IF(AVERAGE(H2:H13)&lt;=2.4,2,IF(AVERAGE(H2:H13)&lt;=3.2,3,IF(AVERAGE(H2:H13)&lt;=4,4)))))</f>
        <v>0</v>
      </c>
      <c r="I14" t="str">
        <f>IF(H14=0,"не реализуется",IF(H14=1,"низкий",IF(H14=2,"средний",IF(H14=3,"выше среднего",IF(H14=4,"высокий")))))</f>
        <v>не реализуется</v>
      </c>
      <c r="K14" s="4" t="str">
        <f>IF(H14&lt;4,"+","в рекомендациях не нуждается")</f>
        <v>+</v>
      </c>
    </row>
    <row r="15" spans="1:11" ht="26" customHeight="1" x14ac:dyDescent="0.2">
      <c r="A15" s="168"/>
      <c r="B15" s="178" t="s">
        <v>4</v>
      </c>
      <c r="C15" s="106"/>
      <c r="D15" s="112"/>
      <c r="E15" s="113" t="s">
        <v>17</v>
      </c>
      <c r="F15" s="190"/>
      <c r="G15" s="122">
        <f>IF(F15="+", 0,0)</f>
        <v>0</v>
      </c>
      <c r="H15" s="171">
        <f>IF(SUM(G15:G17)=0,0,IF(SUM(G15:G17)=1,2,IF(SUM(G15:G17)=2,4)))</f>
        <v>0</v>
      </c>
      <c r="I15" s="124"/>
      <c r="J15" s="21" t="str">
        <f t="shared" si="0"/>
        <v>+</v>
      </c>
    </row>
    <row r="16" spans="1:11" ht="25" customHeight="1" x14ac:dyDescent="0.2">
      <c r="A16" s="168"/>
      <c r="B16" s="180"/>
      <c r="C16" s="14"/>
      <c r="D16" s="16"/>
      <c r="E16" s="20" t="s">
        <v>18</v>
      </c>
      <c r="F16" s="188"/>
      <c r="G16" s="6">
        <f>IF(F16="+", 2,0)</f>
        <v>0</v>
      </c>
      <c r="H16" s="143"/>
      <c r="I16" s="125"/>
      <c r="J16" s="21" t="str">
        <f t="shared" si="0"/>
        <v>+</v>
      </c>
    </row>
    <row r="17" spans="1:11" ht="23" customHeight="1" thickBot="1" x14ac:dyDescent="0.25">
      <c r="A17" s="168"/>
      <c r="B17" s="179"/>
      <c r="C17" s="109"/>
      <c r="D17" s="110"/>
      <c r="E17" s="111" t="s">
        <v>19</v>
      </c>
      <c r="F17" s="189"/>
      <c r="G17" s="123">
        <f>IF(F17="+", 1,0)</f>
        <v>0</v>
      </c>
      <c r="H17" s="176"/>
      <c r="I17" s="126"/>
      <c r="J17" s="21" t="str">
        <f t="shared" si="0"/>
        <v>+</v>
      </c>
    </row>
    <row r="18" spans="1:11" ht="59" customHeight="1" x14ac:dyDescent="0.2">
      <c r="A18" s="168"/>
      <c r="B18" s="178" t="s">
        <v>5</v>
      </c>
      <c r="C18" s="106" t="s">
        <v>54</v>
      </c>
      <c r="D18" s="199"/>
      <c r="E18" s="115"/>
      <c r="F18" s="202"/>
      <c r="G18" s="122">
        <f>IF(OR(F18="+",D18="+" ),1,0)</f>
        <v>0</v>
      </c>
      <c r="H18" s="171">
        <f>IF(SUM(G18:G22)=0,0,IF(SUM(G18:G22)=1,1,IF(SUM(G18:G22)=2,2,IF(SUM(G18:G22)&lt;4,3,IF(SUM(G18:G22)&lt;=5,4)))))</f>
        <v>0</v>
      </c>
      <c r="I18" s="124"/>
      <c r="J18" s="21" t="str">
        <f t="shared" si="0"/>
        <v>+</v>
      </c>
    </row>
    <row r="19" spans="1:11" ht="91" customHeight="1" x14ac:dyDescent="0.2">
      <c r="A19" s="168"/>
      <c r="B19" s="180"/>
      <c r="C19" s="14"/>
      <c r="D19" s="16"/>
      <c r="E19" s="20" t="s">
        <v>20</v>
      </c>
      <c r="F19" s="188"/>
      <c r="G19" s="6">
        <f>IF(F19="+", 1,0)</f>
        <v>0</v>
      </c>
      <c r="H19" s="143"/>
      <c r="I19" s="125"/>
      <c r="J19" s="21" t="str">
        <f t="shared" si="0"/>
        <v>+</v>
      </c>
    </row>
    <row r="20" spans="1:11" ht="51" customHeight="1" x14ac:dyDescent="0.2">
      <c r="A20" s="168"/>
      <c r="B20" s="180"/>
      <c r="C20" s="14" t="s">
        <v>72</v>
      </c>
      <c r="D20" s="200"/>
      <c r="E20" s="19"/>
      <c r="F20" s="203"/>
      <c r="G20" s="6">
        <f>IF(OR(F20="+",D20="+" ),1,0)</f>
        <v>0</v>
      </c>
      <c r="H20" s="143"/>
      <c r="I20" s="125"/>
      <c r="J20" s="21" t="str">
        <f t="shared" si="0"/>
        <v>+</v>
      </c>
    </row>
    <row r="21" spans="1:11" ht="40" customHeight="1" x14ac:dyDescent="0.2">
      <c r="A21" s="168"/>
      <c r="B21" s="180"/>
      <c r="C21" s="14"/>
      <c r="D21" s="16"/>
      <c r="E21" s="20" t="s">
        <v>21</v>
      </c>
      <c r="F21" s="188"/>
      <c r="G21" s="6">
        <f>IF(F21="+", 1,0)</f>
        <v>0</v>
      </c>
      <c r="H21" s="143"/>
      <c r="I21" s="125"/>
      <c r="J21" s="21" t="str">
        <f t="shared" si="0"/>
        <v>+</v>
      </c>
    </row>
    <row r="22" spans="1:11" ht="21" customHeight="1" thickBot="1" x14ac:dyDescent="0.25">
      <c r="A22" s="168"/>
      <c r="B22" s="179"/>
      <c r="C22" s="109"/>
      <c r="D22" s="110"/>
      <c r="E22" s="114" t="s">
        <v>22</v>
      </c>
      <c r="F22" s="189"/>
      <c r="G22" s="123">
        <f>IF(F22="+", 1,0)</f>
        <v>0</v>
      </c>
      <c r="H22" s="176"/>
      <c r="I22" s="126"/>
      <c r="J22" s="21" t="str">
        <f t="shared" si="0"/>
        <v>+</v>
      </c>
    </row>
    <row r="23" spans="1:11" ht="37" customHeight="1" thickBot="1" x14ac:dyDescent="0.25">
      <c r="A23" s="168">
        <v>3</v>
      </c>
      <c r="B23" s="3" t="s">
        <v>6</v>
      </c>
      <c r="C23" s="14"/>
      <c r="D23" s="16"/>
      <c r="E23" s="19"/>
      <c r="H23" s="10">
        <f>IF(AVERAGE(H14:H22)&lt;=0.8,0,IF(AVERAGE(H14:H22)&lt;=1.6,1,IF(AVERAGE(H14:H22)&lt;=2.4,2,IF(AVERAGE(H14:H22)&lt;=3.2,3,IF(AVERAGE(H14:H22)&lt;=4,4)))))</f>
        <v>0</v>
      </c>
      <c r="I23" t="str">
        <f>IF(H23=0,"не реализуется",IF(H23=1,"низкий",IF(H23=2,"средний",IF(H23=3,"выше среднего",IF(H23=4,"высокий")))))</f>
        <v>не реализуется</v>
      </c>
      <c r="K23" s="4" t="str">
        <f>IF(H23&lt;4,"+","в рекомендациях не нуждается")</f>
        <v>+</v>
      </c>
    </row>
    <row r="24" spans="1:11" ht="94" customHeight="1" x14ac:dyDescent="0.2">
      <c r="A24" s="168"/>
      <c r="B24" s="181" t="s">
        <v>7</v>
      </c>
      <c r="C24" s="106" t="s">
        <v>55</v>
      </c>
      <c r="D24" s="199"/>
      <c r="E24" s="115"/>
      <c r="F24" s="202"/>
      <c r="G24" s="122">
        <f>IF(OR(F24="+",D24="+" ),1,0)</f>
        <v>0</v>
      </c>
      <c r="H24" s="171">
        <f>IF(SUM(G24:G27)=0,0,IF(SUM(G24:G27)=1,1,IF(SUM(G24:G27)&lt;=5,2,IF(SUM(G24:G27)&lt;=7,3,IF(SUM(G24:G27)&lt;=10,4)))))</f>
        <v>0</v>
      </c>
      <c r="I24" s="124"/>
      <c r="J24" s="21" t="str">
        <f t="shared" si="0"/>
        <v>+</v>
      </c>
    </row>
    <row r="25" spans="1:11" ht="103" customHeight="1" x14ac:dyDescent="0.2">
      <c r="A25" s="168"/>
      <c r="B25" s="182"/>
      <c r="C25" s="14" t="s">
        <v>56</v>
      </c>
      <c r="D25" s="200"/>
      <c r="E25" s="19"/>
      <c r="F25" s="203"/>
      <c r="G25" s="6">
        <f>IF(G24=0, 0, IF(OR(F25="+", D25="+"), 2, 0))</f>
        <v>0</v>
      </c>
      <c r="H25" s="143"/>
      <c r="I25" s="125"/>
      <c r="J25" s="21" t="str">
        <f t="shared" si="0"/>
        <v>+</v>
      </c>
    </row>
    <row r="26" spans="1:11" ht="82" customHeight="1" x14ac:dyDescent="0.2">
      <c r="A26" s="168"/>
      <c r="B26" s="182"/>
      <c r="C26" s="14" t="s">
        <v>57</v>
      </c>
      <c r="D26" s="200"/>
      <c r="E26" s="19"/>
      <c r="F26" s="203"/>
      <c r="G26" s="6">
        <f>IF(G24=0, 0, IF(OR(F26="+", D26="+"), 3, 0))</f>
        <v>0</v>
      </c>
      <c r="H26" s="143"/>
      <c r="I26" s="125"/>
      <c r="J26" s="21" t="str">
        <f t="shared" si="0"/>
        <v>+</v>
      </c>
    </row>
    <row r="27" spans="1:11" ht="30" customHeight="1" thickBot="1" x14ac:dyDescent="0.25">
      <c r="A27" s="168"/>
      <c r="B27" s="183"/>
      <c r="C27" s="109" t="s">
        <v>58</v>
      </c>
      <c r="D27" s="198"/>
      <c r="E27" s="114"/>
      <c r="F27" s="201"/>
      <c r="G27" s="123">
        <f>IF(G24=0, 0, IF(OR(F27="+", D27="+"), 4, 0))</f>
        <v>0</v>
      </c>
      <c r="H27" s="176"/>
      <c r="I27" s="126"/>
      <c r="J27" s="21" t="str">
        <f t="shared" si="0"/>
        <v>+</v>
      </c>
    </row>
    <row r="28" spans="1:11" ht="98" customHeight="1" x14ac:dyDescent="0.2">
      <c r="A28" s="168"/>
      <c r="B28" s="184" t="s">
        <v>8</v>
      </c>
      <c r="C28" s="116" t="s">
        <v>59</v>
      </c>
      <c r="D28" s="117"/>
      <c r="E28" s="115"/>
      <c r="F28" s="118"/>
      <c r="G28" s="122">
        <f>IF(OR(F28="+",D28="+" ),0,0)</f>
        <v>0</v>
      </c>
      <c r="H28" s="171">
        <f>IF(SUM(G28:G30)=0,0,IF(SUM(G28:G30)=1,2,IF(SUM(G28:G30)=2,4)))</f>
        <v>0</v>
      </c>
      <c r="I28" s="124"/>
      <c r="J28" s="21" t="str">
        <f t="shared" si="0"/>
        <v>+</v>
      </c>
    </row>
    <row r="29" spans="1:11" ht="95" customHeight="1" x14ac:dyDescent="0.2">
      <c r="A29" s="168"/>
      <c r="B29" s="185"/>
      <c r="C29" s="17" t="s">
        <v>60</v>
      </c>
      <c r="D29" s="18"/>
      <c r="E29" s="19"/>
      <c r="F29" s="11"/>
      <c r="G29" s="6">
        <f>IF(D29="+", 1,0)</f>
        <v>0</v>
      </c>
      <c r="H29" s="143"/>
      <c r="I29" s="125"/>
      <c r="J29" s="21" t="str">
        <f t="shared" si="0"/>
        <v>+</v>
      </c>
    </row>
    <row r="30" spans="1:11" ht="65" customHeight="1" thickBot="1" x14ac:dyDescent="0.25">
      <c r="A30" s="168"/>
      <c r="B30" s="186"/>
      <c r="C30" s="119" t="s">
        <v>61</v>
      </c>
      <c r="D30" s="120"/>
      <c r="E30" s="114"/>
      <c r="F30" s="121"/>
      <c r="G30" s="123">
        <f>IF(D30="+", 2,0)</f>
        <v>0</v>
      </c>
      <c r="H30" s="176"/>
      <c r="I30" s="126"/>
      <c r="J30" s="21" t="str">
        <f t="shared" si="0"/>
        <v>+</v>
      </c>
    </row>
    <row r="31" spans="1:11" ht="41" customHeight="1" thickBot="1" x14ac:dyDescent="0.35">
      <c r="A31" s="168">
        <v>4</v>
      </c>
      <c r="B31" s="5" t="s">
        <v>9</v>
      </c>
      <c r="C31" s="14"/>
      <c r="D31" s="16"/>
      <c r="E31" s="19"/>
      <c r="H31" s="10">
        <f>IF(AVERAGE(H23:H30)&lt;=0.8,0,IF(AVERAGE(H23:H30)&lt;=1.6,1,IF(AVERAGE(H23:H30)&lt;=2.4,2,IF(AVERAGE(H23:H30)&lt;=3.2,3,IF(AVERAGE(H23:H30)&lt;=4,4)))))</f>
        <v>0</v>
      </c>
      <c r="I31" t="str">
        <f>IF(H31=0,"не реализуется",IF(H31=1,"низкий",IF(H31=2,"средний",IF(H31=3,"выше среднего",IF(H31=4,"высокий")))))</f>
        <v>не реализуется</v>
      </c>
      <c r="K31" s="2" t="str">
        <f>IF(H31&lt;4,"+","в рекомендациях не нуждается")</f>
        <v>+</v>
      </c>
    </row>
    <row r="32" spans="1:11" ht="68" customHeight="1" x14ac:dyDescent="0.2">
      <c r="A32" s="168"/>
      <c r="B32" s="169" t="s">
        <v>10</v>
      </c>
      <c r="C32" s="116" t="s">
        <v>63</v>
      </c>
      <c r="D32" s="117"/>
      <c r="E32" s="115"/>
      <c r="F32" s="118"/>
      <c r="G32" s="122">
        <f>IF(D32="+", 0,0)</f>
        <v>0</v>
      </c>
      <c r="H32" s="171">
        <f>IF(SUM(G32:G35)=0,0,IF(SUM(G32:G35)=1,1,IF(SUM(G32:G35)=2,3,IF(SUM(G32:G35)=3,4))))</f>
        <v>0</v>
      </c>
      <c r="I32" s="124"/>
      <c r="J32" s="21" t="str">
        <f t="shared" si="0"/>
        <v>+</v>
      </c>
    </row>
    <row r="33" spans="1:11" ht="43" customHeight="1" x14ac:dyDescent="0.2">
      <c r="A33" s="168"/>
      <c r="B33" s="170"/>
      <c r="C33" s="17" t="s">
        <v>62</v>
      </c>
      <c r="D33" s="18"/>
      <c r="E33" s="19"/>
      <c r="F33" s="11"/>
      <c r="G33" s="6">
        <f>IF(D33="+", 1,0)</f>
        <v>0</v>
      </c>
      <c r="H33" s="143"/>
      <c r="I33" s="125"/>
      <c r="J33" s="21" t="str">
        <f t="shared" si="0"/>
        <v>+</v>
      </c>
    </row>
    <row r="34" spans="1:11" ht="33" customHeight="1" x14ac:dyDescent="0.2">
      <c r="A34" s="168"/>
      <c r="B34" s="170"/>
      <c r="C34" s="17" t="s">
        <v>64</v>
      </c>
      <c r="D34" s="18"/>
      <c r="E34" s="19"/>
      <c r="F34" s="11"/>
      <c r="G34" s="6">
        <f>IF(D34="+", 2,0)</f>
        <v>0</v>
      </c>
      <c r="H34" s="143"/>
      <c r="I34" s="125"/>
      <c r="J34" s="21" t="str">
        <f t="shared" si="0"/>
        <v>+</v>
      </c>
    </row>
    <row r="35" spans="1:11" ht="79" customHeight="1" thickBot="1" x14ac:dyDescent="0.25">
      <c r="A35" s="168"/>
      <c r="B35" s="172"/>
      <c r="C35" s="119" t="s">
        <v>70</v>
      </c>
      <c r="D35" s="120"/>
      <c r="E35" s="114"/>
      <c r="F35" s="121"/>
      <c r="G35" s="123">
        <f>IF(D35="+", 3,0)</f>
        <v>0</v>
      </c>
      <c r="H35" s="176"/>
      <c r="I35" s="126"/>
      <c r="J35" s="21" t="str">
        <f t="shared" si="0"/>
        <v>+</v>
      </c>
    </row>
    <row r="36" spans="1:11" ht="113" customHeight="1" x14ac:dyDescent="0.2">
      <c r="A36" s="168"/>
      <c r="B36" s="169" t="s">
        <v>11</v>
      </c>
      <c r="C36" s="116" t="s">
        <v>65</v>
      </c>
      <c r="D36" s="117"/>
      <c r="E36" s="115"/>
      <c r="F36" s="118"/>
      <c r="G36" s="122">
        <f>IF(D36="+", 0,0)</f>
        <v>0</v>
      </c>
      <c r="H36" s="171">
        <f>IF(SUM(G36:G40)=0,0,IF(SUM(G36:G40)=1,1,IF(SUM(G36:G40)=2,2,IF(SUM(G36:G40)=3,3,IF(SUM(G36:G40)=4,4)))))</f>
        <v>0</v>
      </c>
      <c r="I36" s="124"/>
      <c r="J36" s="21" t="str">
        <f t="shared" si="0"/>
        <v>+</v>
      </c>
    </row>
    <row r="37" spans="1:11" ht="48" customHeight="1" x14ac:dyDescent="0.2">
      <c r="A37" s="168"/>
      <c r="B37" s="170"/>
      <c r="C37" s="17" t="s">
        <v>66</v>
      </c>
      <c r="D37" s="18"/>
      <c r="E37" s="19"/>
      <c r="F37" s="11"/>
      <c r="G37" s="6">
        <f>IF(D37="+", 1,0)</f>
        <v>0</v>
      </c>
      <c r="H37" s="143"/>
      <c r="I37" s="125"/>
      <c r="J37" s="21" t="str">
        <f t="shared" si="0"/>
        <v>+</v>
      </c>
    </row>
    <row r="38" spans="1:11" ht="41" customHeight="1" x14ac:dyDescent="0.2">
      <c r="A38" s="168"/>
      <c r="B38" s="170"/>
      <c r="C38" s="17" t="s">
        <v>67</v>
      </c>
      <c r="D38" s="18"/>
      <c r="E38" s="19"/>
      <c r="F38" s="11"/>
      <c r="G38" s="6">
        <f>IF(D38="+", 2,0)</f>
        <v>0</v>
      </c>
      <c r="H38" s="143"/>
      <c r="I38" s="125"/>
      <c r="J38" s="21" t="str">
        <f t="shared" si="0"/>
        <v>+</v>
      </c>
    </row>
    <row r="39" spans="1:11" ht="36" customHeight="1" x14ac:dyDescent="0.2">
      <c r="A39" s="168"/>
      <c r="B39" s="170"/>
      <c r="C39" s="17" t="s">
        <v>68</v>
      </c>
      <c r="D39" s="18"/>
      <c r="E39" s="19"/>
      <c r="F39" s="11"/>
      <c r="G39" s="6">
        <f>IF(D39="+", 3,0)</f>
        <v>0</v>
      </c>
      <c r="H39" s="143"/>
      <c r="I39" s="125"/>
      <c r="J39" s="21" t="str">
        <f t="shared" si="0"/>
        <v>+</v>
      </c>
    </row>
    <row r="40" spans="1:11" ht="34" customHeight="1" thickBot="1" x14ac:dyDescent="0.25">
      <c r="A40" s="168"/>
      <c r="B40" s="172"/>
      <c r="C40" s="119" t="s">
        <v>69</v>
      </c>
      <c r="D40" s="120"/>
      <c r="E40" s="114"/>
      <c r="F40" s="121"/>
      <c r="G40" s="123">
        <f>IF(D40="+", 4,0)</f>
        <v>0</v>
      </c>
      <c r="H40" s="176"/>
      <c r="I40" s="126"/>
      <c r="J40" s="21" t="str">
        <f t="shared" si="0"/>
        <v>+</v>
      </c>
    </row>
    <row r="41" spans="1:11" ht="39" customHeight="1" x14ac:dyDescent="0.2">
      <c r="H41" s="10">
        <f>IF(AVERAGE(H31:H40)&lt;=0.8,0,IF(AVERAGE(H31:H40)&lt;=1.6,1,IF(AVERAGE(H31:H40)&lt;=2.4,2,IF(AVERAGE(H31:H40)&lt;=3.2,3,IF(AVERAGE(H31:H40)&lt;=4,4)))))</f>
        <v>0</v>
      </c>
      <c r="I41" t="str">
        <f>IF(H41=0,"не реализуется",IF(H41=1,"низкий",IF(H41=2,"средний",IF(H41=3,"выше среднего",IF(H41=4,"высокий")))))</f>
        <v>не реализуется</v>
      </c>
      <c r="K41" s="2" t="str">
        <f>IF(H41&lt;4,"+","в рекомендациях не нуждается")</f>
        <v>+</v>
      </c>
    </row>
    <row r="43" spans="1:11" x14ac:dyDescent="0.2">
      <c r="A43" s="197"/>
      <c r="B43" t="s">
        <v>130</v>
      </c>
    </row>
    <row r="44" spans="1:11" x14ac:dyDescent="0.2">
      <c r="A44" s="204"/>
      <c r="B44" t="s">
        <v>129</v>
      </c>
    </row>
    <row r="45" spans="1:11" x14ac:dyDescent="0.2">
      <c r="A45" s="7"/>
      <c r="B45" t="s">
        <v>128</v>
      </c>
    </row>
  </sheetData>
  <mergeCells count="22">
    <mergeCell ref="A2:A13"/>
    <mergeCell ref="B2:B5"/>
    <mergeCell ref="H2:H5"/>
    <mergeCell ref="B6:B8"/>
    <mergeCell ref="H6:H8"/>
    <mergeCell ref="B9:B13"/>
    <mergeCell ref="H9:H13"/>
    <mergeCell ref="A23:A30"/>
    <mergeCell ref="B24:B27"/>
    <mergeCell ref="H24:H27"/>
    <mergeCell ref="B28:B30"/>
    <mergeCell ref="H28:H30"/>
    <mergeCell ref="A14:A22"/>
    <mergeCell ref="B15:B17"/>
    <mergeCell ref="H15:H17"/>
    <mergeCell ref="B18:B22"/>
    <mergeCell ref="H18:H22"/>
    <mergeCell ref="A31:A40"/>
    <mergeCell ref="B32:B35"/>
    <mergeCell ref="H32:H35"/>
    <mergeCell ref="B36:B40"/>
    <mergeCell ref="H36:H40"/>
  </mergeCells>
  <conditionalFormatting sqref="G2:G40">
    <cfRule type="cellIs" dxfId="1" priority="7" operator="equal">
      <formula>0</formula>
    </cfRule>
  </conditionalFormatting>
  <conditionalFormatting sqref="K1:K1048576">
    <cfRule type="cellIs" dxfId="0" priority="1" operator="equal">
      <formula>"+"</formula>
    </cfRule>
  </conditionalFormatting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дубликатРезультат оценки анализ</vt:lpstr>
      <vt:lpstr>Инструкция</vt:lpstr>
      <vt:lpstr>I сценарий</vt:lpstr>
      <vt:lpstr>II сценарий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</dc:creator>
  <cp:lastModifiedBy>Ekaterina Pozdnyakova</cp:lastModifiedBy>
  <dcterms:created xsi:type="dcterms:W3CDTF">2025-11-09T19:21:43Z</dcterms:created>
  <dcterms:modified xsi:type="dcterms:W3CDTF">2026-05-07T19:24:09Z</dcterms:modified>
</cp:coreProperties>
</file>